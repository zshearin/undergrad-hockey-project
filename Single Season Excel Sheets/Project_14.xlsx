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earz\Desktop\OR Methods\Project\"/>
    </mc:Choice>
  </mc:AlternateContent>
  <bookViews>
    <workbookView xWindow="0" yWindow="0" windowWidth="11970" windowHeight="9660" activeTab="4"/>
  </bookViews>
  <sheets>
    <sheet name="Summary" sheetId="14" r:id="rId1"/>
    <sheet name="14.0" sheetId="27" r:id="rId2"/>
    <sheet name="14.1" sheetId="26" r:id="rId3"/>
    <sheet name="14.2" sheetId="24" r:id="rId4"/>
    <sheet name="14.3 - model of cur system" sheetId="3" r:id="rId5"/>
    <sheet name="14.4" sheetId="25" r:id="rId6"/>
  </sheets>
  <definedNames>
    <definedName name="_xlnm._FilterDatabase" localSheetId="1" hidden="1">'14.0'!$A$1:$X$31</definedName>
    <definedName name="_xlnm._FilterDatabase" localSheetId="2" hidden="1">'14.1'!$A$1:$X$31</definedName>
    <definedName name="_xlnm._FilterDatabase" localSheetId="3" hidden="1">'14.2'!$A$1:$X$31</definedName>
    <definedName name="_xlnm._FilterDatabase" localSheetId="4" hidden="1">'14.3 - model of cur system'!$A$1:$X$31</definedName>
    <definedName name="_xlnm._FilterDatabase" localSheetId="5" hidden="1">'14.4'!$A$1:$X$31</definedName>
    <definedName name="solver_adj" localSheetId="1" hidden="1">'14.0'!$H$2:$H$31,'14.0'!$I$2:$I$31</definedName>
    <definedName name="solver_adj" localSheetId="2" hidden="1">'14.1'!$H$2:$H$31,'14.1'!$I$2:$I$31</definedName>
    <definedName name="solver_adj" localSheetId="3" hidden="1">'14.2'!$H$2:$H$31,'14.2'!$I$2:$I$31</definedName>
    <definedName name="solver_adj" localSheetId="4" hidden="1">'14.3 - model of cur system'!$H$2:$H$31,'14.3 - model of cur system'!$I$2:$I$31</definedName>
    <definedName name="solver_adj" localSheetId="5" hidden="1">'14.4'!$H$2:$H$31,'14.4'!$I$2:$I$31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1" hidden="1">'14.0'!$I$2:$I$31</definedName>
    <definedName name="solver_lhs1" localSheetId="2" hidden="1">'14.1'!$I$2:$I$31</definedName>
    <definedName name="solver_lhs1" localSheetId="3" hidden="1">'14.2'!$I$2:$I$31</definedName>
    <definedName name="solver_lhs1" localSheetId="4" hidden="1">'14.3 - model of cur system'!$I$2:$I$31</definedName>
    <definedName name="solver_lhs1" localSheetId="5" hidden="1">'14.4'!$I$2:$I$31</definedName>
    <definedName name="solver_lhs10" localSheetId="1" hidden="1">'14.0'!$R$58:$R$61</definedName>
    <definedName name="solver_lhs10" localSheetId="2" hidden="1">'14.1'!$R$58:$R$61</definedName>
    <definedName name="solver_lhs10" localSheetId="3" hidden="1">'14.2'!$R$58:$R$61</definedName>
    <definedName name="solver_lhs10" localSheetId="4" hidden="1">'14.3 - model of cur system'!$R$55</definedName>
    <definedName name="solver_lhs10" localSheetId="5" hidden="1">'14.4'!$R$58:$R$61</definedName>
    <definedName name="solver_lhs11" localSheetId="1" hidden="1">'14.0'!$W$25:$W$31</definedName>
    <definedName name="solver_lhs11" localSheetId="2" hidden="1">'14.1'!$W$25:$W$31</definedName>
    <definedName name="solver_lhs11" localSheetId="3" hidden="1">'14.2'!$W$25:$W$31</definedName>
    <definedName name="solver_lhs11" localSheetId="4" hidden="1">'14.3 - model of cur system'!$W$25:$W$31</definedName>
    <definedName name="solver_lhs11" localSheetId="5" hidden="1">'14.4'!$W$25:$W$31</definedName>
    <definedName name="solver_lhs12" localSheetId="1" hidden="1">'14.0'!$W$25:$W$31</definedName>
    <definedName name="solver_lhs12" localSheetId="2" hidden="1">'14.1'!$W$25:$W$31</definedName>
    <definedName name="solver_lhs12" localSheetId="3" hidden="1">'14.2'!$W$25:$W$31</definedName>
    <definedName name="solver_lhs12" localSheetId="4" hidden="1">'14.3 - model of cur system'!$W$25:$W$31</definedName>
    <definedName name="solver_lhs12" localSheetId="5" hidden="1">'14.4'!$W$25:$W$31</definedName>
    <definedName name="solver_lhs13" localSheetId="1" hidden="1">'14.0'!$W$25:$W$31</definedName>
    <definedName name="solver_lhs13" localSheetId="2" hidden="1">'14.1'!$W$25:$W$31</definedName>
    <definedName name="solver_lhs13" localSheetId="3" hidden="1">'14.2'!$W$25:$W$31</definedName>
    <definedName name="solver_lhs13" localSheetId="4" hidden="1">'14.3 - model of cur system'!$W$25:$W$31</definedName>
    <definedName name="solver_lhs13" localSheetId="5" hidden="1">'14.4'!$W$25:$W$31</definedName>
    <definedName name="solver_lhs2" localSheetId="1" hidden="1">'14.0'!$J$2:$J$31</definedName>
    <definedName name="solver_lhs2" localSheetId="2" hidden="1">'14.1'!$J$2:$J$31</definedName>
    <definedName name="solver_lhs2" localSheetId="3" hidden="1">'14.2'!$J$2:$J$31</definedName>
    <definedName name="solver_lhs2" localSheetId="4" hidden="1">'14.3 - model of cur system'!$J$2:$J$31</definedName>
    <definedName name="solver_lhs2" localSheetId="5" hidden="1">'14.4'!$J$2:$J$31</definedName>
    <definedName name="solver_lhs3" localSheetId="1" hidden="1">'14.0'!$H$2:$H$31</definedName>
    <definedName name="solver_lhs3" localSheetId="2" hidden="1">'14.1'!$H$2:$H$31</definedName>
    <definedName name="solver_lhs3" localSheetId="3" hidden="1">'14.2'!$H$2:$H$31</definedName>
    <definedName name="solver_lhs3" localSheetId="4" hidden="1">'14.3 - model of cur system'!$H$2:$H$31</definedName>
    <definedName name="solver_lhs3" localSheetId="5" hidden="1">'14.4'!$H$2:$H$31</definedName>
    <definedName name="solver_lhs4" localSheetId="1" hidden="1">'14.0'!$R$47</definedName>
    <definedName name="solver_lhs4" localSheetId="2" hidden="1">'14.1'!$R$47</definedName>
    <definedName name="solver_lhs4" localSheetId="3" hidden="1">'14.2'!$R$47</definedName>
    <definedName name="solver_lhs4" localSheetId="4" hidden="1">'14.3 - model of cur system'!$R$47</definedName>
    <definedName name="solver_lhs4" localSheetId="5" hidden="1">'14.4'!$R$47</definedName>
    <definedName name="solver_lhs5" localSheetId="1" hidden="1">'14.0'!$R$49</definedName>
    <definedName name="solver_lhs5" localSheetId="2" hidden="1">'14.1'!$R$49</definedName>
    <definedName name="solver_lhs5" localSheetId="3" hidden="1">'14.2'!$R$49</definedName>
    <definedName name="solver_lhs5" localSheetId="4" hidden="1">'14.3 - model of cur system'!$R$49</definedName>
    <definedName name="solver_lhs5" localSheetId="5" hidden="1">'14.4'!$R$49</definedName>
    <definedName name="solver_lhs6" localSheetId="1" hidden="1">'14.0'!$R$50</definedName>
    <definedName name="solver_lhs6" localSheetId="2" hidden="1">'14.1'!$R$50</definedName>
    <definedName name="solver_lhs6" localSheetId="3" hidden="1">'14.2'!$R$50</definedName>
    <definedName name="solver_lhs6" localSheetId="4" hidden="1">'14.3 - model of cur system'!$R$50</definedName>
    <definedName name="solver_lhs6" localSheetId="5" hidden="1">'14.4'!$R$50</definedName>
    <definedName name="solver_lhs7" localSheetId="1" hidden="1">'14.0'!$R$52</definedName>
    <definedName name="solver_lhs7" localSheetId="2" hidden="1">'14.1'!$R$52</definedName>
    <definedName name="solver_lhs7" localSheetId="3" hidden="1">'14.2'!$R$52</definedName>
    <definedName name="solver_lhs7" localSheetId="4" hidden="1">'14.3 - model of cur system'!$R$52</definedName>
    <definedName name="solver_lhs7" localSheetId="5" hidden="1">'14.4'!$R$52</definedName>
    <definedName name="solver_lhs8" localSheetId="1" hidden="1">'14.0'!$R$53</definedName>
    <definedName name="solver_lhs8" localSheetId="2" hidden="1">'14.1'!$R$53</definedName>
    <definedName name="solver_lhs8" localSheetId="3" hidden="1">'14.2'!$R$53</definedName>
    <definedName name="solver_lhs8" localSheetId="4" hidden="1">'14.3 - model of cur system'!$R$53</definedName>
    <definedName name="solver_lhs8" localSheetId="5" hidden="1">'14.4'!$R$53</definedName>
    <definedName name="solver_lhs9" localSheetId="1" hidden="1">'14.0'!$R$55</definedName>
    <definedName name="solver_lhs9" localSheetId="2" hidden="1">'14.1'!$R$55</definedName>
    <definedName name="solver_lhs9" localSheetId="3" hidden="1">'14.2'!$R$55</definedName>
    <definedName name="solver_lhs9" localSheetId="4" hidden="1">'14.3 - model of cur system'!$R$58:$R$61</definedName>
    <definedName name="solver_lhs9" localSheetId="5" hidden="1">'14.4'!$R$55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1" hidden="1">10</definedName>
    <definedName name="solver_num" localSheetId="2" hidden="1">10</definedName>
    <definedName name="solver_num" localSheetId="3" hidden="1">10</definedName>
    <definedName name="solver_num" localSheetId="4" hidden="1">10</definedName>
    <definedName name="solver_num" localSheetId="5" hidden="1">10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1" hidden="1">'14.0'!$R$44</definedName>
    <definedName name="solver_opt" localSheetId="2" hidden="1">'14.1'!$R$44</definedName>
    <definedName name="solver_opt" localSheetId="3" hidden="1">'14.2'!$R$44</definedName>
    <definedName name="solver_opt" localSheetId="4" hidden="1">'14.3 - model of cur system'!$R$44</definedName>
    <definedName name="solver_opt" localSheetId="5" hidden="1">'14.4'!$R$44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el1" localSheetId="1" hidden="1">5</definedName>
    <definedName name="solver_rel1" localSheetId="2" hidden="1">5</definedName>
    <definedName name="solver_rel1" localSheetId="3" hidden="1">5</definedName>
    <definedName name="solver_rel1" localSheetId="4" hidden="1">5</definedName>
    <definedName name="solver_rel1" localSheetId="5" hidden="1">5</definedName>
    <definedName name="solver_rel10" localSheetId="1" hidden="1">1</definedName>
    <definedName name="solver_rel10" localSheetId="2" hidden="1">1</definedName>
    <definedName name="solver_rel10" localSheetId="3" hidden="1">1</definedName>
    <definedName name="solver_rel10" localSheetId="4" hidden="1">3</definedName>
    <definedName name="solver_rel10" localSheetId="5" hidden="1">1</definedName>
    <definedName name="solver_rel11" localSheetId="1" hidden="1">3</definedName>
    <definedName name="solver_rel11" localSheetId="2" hidden="1">3</definedName>
    <definedName name="solver_rel11" localSheetId="3" hidden="1">3</definedName>
    <definedName name="solver_rel11" localSheetId="4" hidden="1">3</definedName>
    <definedName name="solver_rel11" localSheetId="5" hidden="1">3</definedName>
    <definedName name="solver_rel12" localSheetId="1" hidden="1">3</definedName>
    <definedName name="solver_rel12" localSheetId="2" hidden="1">3</definedName>
    <definedName name="solver_rel12" localSheetId="3" hidden="1">3</definedName>
    <definedName name="solver_rel12" localSheetId="4" hidden="1">3</definedName>
    <definedName name="solver_rel12" localSheetId="5" hidden="1">3</definedName>
    <definedName name="solver_rel13" localSheetId="1" hidden="1">3</definedName>
    <definedName name="solver_rel13" localSheetId="2" hidden="1">3</definedName>
    <definedName name="solver_rel13" localSheetId="3" hidden="1">3</definedName>
    <definedName name="solver_rel13" localSheetId="4" hidden="1">3</definedName>
    <definedName name="solver_rel13" localSheetId="5" hidden="1">3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el2" localSheetId="5" hidden="1">1</definedName>
    <definedName name="solver_rel3" localSheetId="1" hidden="1">5</definedName>
    <definedName name="solver_rel3" localSheetId="2" hidden="1">5</definedName>
    <definedName name="solver_rel3" localSheetId="3" hidden="1">5</definedName>
    <definedName name="solver_rel3" localSheetId="4" hidden="1">5</definedName>
    <definedName name="solver_rel3" localSheetId="5" hidden="1">5</definedName>
    <definedName name="solver_rel4" localSheetId="1" hidden="1">2</definedName>
    <definedName name="solver_rel4" localSheetId="2" hidden="1">2</definedName>
    <definedName name="solver_rel4" localSheetId="3" hidden="1">2</definedName>
    <definedName name="solver_rel4" localSheetId="4" hidden="1">2</definedName>
    <definedName name="solver_rel4" localSheetId="5" hidden="1">2</definedName>
    <definedName name="solver_rel5" localSheetId="1" hidden="1">1</definedName>
    <definedName name="solver_rel5" localSheetId="2" hidden="1">1</definedName>
    <definedName name="solver_rel5" localSheetId="3" hidden="1">1</definedName>
    <definedName name="solver_rel5" localSheetId="4" hidden="1">1</definedName>
    <definedName name="solver_rel5" localSheetId="5" hidden="1">1</definedName>
    <definedName name="solver_rel6" localSheetId="1" hidden="1">1</definedName>
    <definedName name="solver_rel6" localSheetId="2" hidden="1">1</definedName>
    <definedName name="solver_rel6" localSheetId="3" hidden="1">1</definedName>
    <definedName name="solver_rel6" localSheetId="4" hidden="1">1</definedName>
    <definedName name="solver_rel6" localSheetId="5" hidden="1">1</definedName>
    <definedName name="solver_rel7" localSheetId="1" hidden="1">2</definedName>
    <definedName name="solver_rel7" localSheetId="2" hidden="1">2</definedName>
    <definedName name="solver_rel7" localSheetId="3" hidden="1">2</definedName>
    <definedName name="solver_rel7" localSheetId="4" hidden="1">2</definedName>
    <definedName name="solver_rel7" localSheetId="5" hidden="1">2</definedName>
    <definedName name="solver_rel8" localSheetId="1" hidden="1">2</definedName>
    <definedName name="solver_rel8" localSheetId="2" hidden="1">2</definedName>
    <definedName name="solver_rel8" localSheetId="3" hidden="1">2</definedName>
    <definedName name="solver_rel8" localSheetId="4" hidden="1">2</definedName>
    <definedName name="solver_rel8" localSheetId="5" hidden="1">2</definedName>
    <definedName name="solver_rel9" localSheetId="1" hidden="1">3</definedName>
    <definedName name="solver_rel9" localSheetId="2" hidden="1">3</definedName>
    <definedName name="solver_rel9" localSheetId="3" hidden="1">3</definedName>
    <definedName name="solver_rel9" localSheetId="4" hidden="1">1</definedName>
    <definedName name="solver_rel9" localSheetId="5" hidden="1">3</definedName>
    <definedName name="solver_rhs1" localSheetId="1" hidden="1">binary</definedName>
    <definedName name="solver_rhs1" localSheetId="2" hidden="1">binary</definedName>
    <definedName name="solver_rhs1" localSheetId="3" hidden="1">binary</definedName>
    <definedName name="solver_rhs1" localSheetId="4" hidden="1">binary</definedName>
    <definedName name="solver_rhs1" localSheetId="5" hidden="1">binary</definedName>
    <definedName name="solver_rhs10" localSheetId="1" hidden="1">'14.0'!$T$58:$T$61</definedName>
    <definedName name="solver_rhs10" localSheetId="2" hidden="1">'14.1'!$T$58:$T$61</definedName>
    <definedName name="solver_rhs10" localSheetId="3" hidden="1">'14.2'!$T$58:$T$61</definedName>
    <definedName name="solver_rhs10" localSheetId="4" hidden="1">'14.3 - model of cur system'!$T$55</definedName>
    <definedName name="solver_rhs10" localSheetId="5" hidden="1">'14.4'!$T$58:$T$61</definedName>
    <definedName name="solver_rhs11" localSheetId="1" hidden="1">'14.0'!$X$25:$X$31</definedName>
    <definedName name="solver_rhs11" localSheetId="2" hidden="1">'14.1'!$X$25:$X$31</definedName>
    <definedName name="solver_rhs11" localSheetId="3" hidden="1">'14.2'!$X$25:$X$31</definedName>
    <definedName name="solver_rhs11" localSheetId="4" hidden="1">'14.3 - model of cur system'!$X$25:$X$31</definedName>
    <definedName name="solver_rhs11" localSheetId="5" hidden="1">'14.4'!$X$25:$X$31</definedName>
    <definedName name="solver_rhs12" localSheetId="1" hidden="1">'14.0'!$X$25:$X$31</definedName>
    <definedName name="solver_rhs12" localSheetId="2" hidden="1">'14.1'!$X$25:$X$31</definedName>
    <definedName name="solver_rhs12" localSheetId="3" hidden="1">'14.2'!$X$25:$X$31</definedName>
    <definedName name="solver_rhs12" localSheetId="4" hidden="1">'14.3 - model of cur system'!$X$25:$X$31</definedName>
    <definedName name="solver_rhs12" localSheetId="5" hidden="1">'14.4'!$X$25:$X$31</definedName>
    <definedName name="solver_rhs13" localSheetId="1" hidden="1">'14.0'!$X$25:$X$31</definedName>
    <definedName name="solver_rhs13" localSheetId="2" hidden="1">'14.1'!$X$25:$X$31</definedName>
    <definedName name="solver_rhs13" localSheetId="3" hidden="1">'14.2'!$X$25:$X$31</definedName>
    <definedName name="solver_rhs13" localSheetId="4" hidden="1">'14.3 - model of cur system'!$X$25:$X$31</definedName>
    <definedName name="solver_rhs13" localSheetId="5" hidden="1">'14.4'!$X$25:$X$31</definedName>
    <definedName name="solver_rhs2" localSheetId="1" hidden="1">1</definedName>
    <definedName name="solver_rhs2" localSheetId="2" hidden="1">1</definedName>
    <definedName name="solver_rhs2" localSheetId="3" hidden="1">1</definedName>
    <definedName name="solver_rhs2" localSheetId="4" hidden="1">1</definedName>
    <definedName name="solver_rhs2" localSheetId="5" hidden="1">1</definedName>
    <definedName name="solver_rhs3" localSheetId="1" hidden="1">binary</definedName>
    <definedName name="solver_rhs3" localSheetId="2" hidden="1">binary</definedName>
    <definedName name="solver_rhs3" localSheetId="3" hidden="1">binary</definedName>
    <definedName name="solver_rhs3" localSheetId="4" hidden="1">binary</definedName>
    <definedName name="solver_rhs3" localSheetId="5" hidden="1">binary</definedName>
    <definedName name="solver_rhs4" localSheetId="1" hidden="1">'14.0'!$T$47</definedName>
    <definedName name="solver_rhs4" localSheetId="2" hidden="1">'14.1'!$T$47</definedName>
    <definedName name="solver_rhs4" localSheetId="3" hidden="1">'14.2'!$T$47</definedName>
    <definedName name="solver_rhs4" localSheetId="4" hidden="1">'14.3 - model of cur system'!$T$47</definedName>
    <definedName name="solver_rhs4" localSheetId="5" hidden="1">'14.4'!$T$47</definedName>
    <definedName name="solver_rhs5" localSheetId="1" hidden="1">'14.0'!$T$49</definedName>
    <definedName name="solver_rhs5" localSheetId="2" hidden="1">'14.1'!$T$49</definedName>
    <definedName name="solver_rhs5" localSheetId="3" hidden="1">'14.2'!$T$49</definedName>
    <definedName name="solver_rhs5" localSheetId="4" hidden="1">'14.3 - model of cur system'!$T$49</definedName>
    <definedName name="solver_rhs5" localSheetId="5" hidden="1">'14.4'!$T$49</definedName>
    <definedName name="solver_rhs6" localSheetId="1" hidden="1">'14.0'!$T$50</definedName>
    <definedName name="solver_rhs6" localSheetId="2" hidden="1">'14.1'!$T$50</definedName>
    <definedName name="solver_rhs6" localSheetId="3" hidden="1">'14.2'!$T$50</definedName>
    <definedName name="solver_rhs6" localSheetId="4" hidden="1">'14.3 - model of cur system'!$T$50</definedName>
    <definedName name="solver_rhs6" localSheetId="5" hidden="1">'14.4'!$T$50</definedName>
    <definedName name="solver_rhs7" localSheetId="1" hidden="1">'14.0'!$T$52</definedName>
    <definedName name="solver_rhs7" localSheetId="2" hidden="1">'14.1'!$T$52</definedName>
    <definedName name="solver_rhs7" localSheetId="3" hidden="1">'14.2'!$T$52</definedName>
    <definedName name="solver_rhs7" localSheetId="4" hidden="1">'14.3 - model of cur system'!$T$52</definedName>
    <definedName name="solver_rhs7" localSheetId="5" hidden="1">'14.4'!$T$52</definedName>
    <definedName name="solver_rhs8" localSheetId="1" hidden="1">'14.0'!$T$53</definedName>
    <definedName name="solver_rhs8" localSheetId="2" hidden="1">'14.1'!$T$53</definedName>
    <definedName name="solver_rhs8" localSheetId="3" hidden="1">'14.2'!$T$53</definedName>
    <definedName name="solver_rhs8" localSheetId="4" hidden="1">'14.3 - model of cur system'!$T$53</definedName>
    <definedName name="solver_rhs8" localSheetId="5" hidden="1">'14.4'!$T$53</definedName>
    <definedName name="solver_rhs9" localSheetId="1" hidden="1">'14.0'!$T$55</definedName>
    <definedName name="solver_rhs9" localSheetId="2" hidden="1">'14.1'!$T$55</definedName>
    <definedName name="solver_rhs9" localSheetId="3" hidden="1">'14.2'!$T$55</definedName>
    <definedName name="solver_rhs9" localSheetId="4" hidden="1">'14.3 - model of cur system'!$T$58:$T$61</definedName>
    <definedName name="solver_rhs9" localSheetId="5" hidden="1">'14.4'!$T$55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1" i="27" l="1"/>
  <c r="R60" i="27"/>
  <c r="R59" i="27"/>
  <c r="R58" i="27"/>
  <c r="R47" i="27"/>
  <c r="R42" i="27"/>
  <c r="R41" i="27"/>
  <c r="I33" i="27"/>
  <c r="H33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T52" i="27" l="1"/>
  <c r="K33" i="27"/>
  <c r="R50" i="27"/>
  <c r="T53" i="27"/>
  <c r="R44" i="27"/>
  <c r="R53" i="27"/>
  <c r="T55" i="27" s="1"/>
  <c r="T44" i="27"/>
  <c r="B2" i="14" s="1"/>
  <c r="R49" i="27"/>
  <c r="L33" i="27"/>
  <c r="R52" i="27"/>
  <c r="R55" i="27" s="1"/>
  <c r="R61" i="26"/>
  <c r="R60" i="26"/>
  <c r="R59" i="26"/>
  <c r="R58" i="26"/>
  <c r="R47" i="26"/>
  <c r="R42" i="26"/>
  <c r="R41" i="26"/>
  <c r="I33" i="26"/>
  <c r="H33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X2" i="26"/>
  <c r="W2" i="26"/>
  <c r="V2" i="26"/>
  <c r="U2" i="26"/>
  <c r="T2" i="26"/>
  <c r="S2" i="26"/>
  <c r="R2" i="26"/>
  <c r="Q2" i="26"/>
  <c r="P2" i="26"/>
  <c r="O2" i="26"/>
  <c r="N2" i="26"/>
  <c r="M2" i="26"/>
  <c r="L2" i="26"/>
  <c r="K2" i="26"/>
  <c r="J2" i="26"/>
  <c r="R61" i="25"/>
  <c r="R60" i="25"/>
  <c r="R59" i="25"/>
  <c r="R58" i="25"/>
  <c r="R47" i="25"/>
  <c r="R42" i="25"/>
  <c r="R41" i="25"/>
  <c r="I33" i="25"/>
  <c r="H33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R61" i="24"/>
  <c r="R60" i="24"/>
  <c r="R59" i="24"/>
  <c r="R58" i="24"/>
  <c r="R47" i="24"/>
  <c r="R42" i="24"/>
  <c r="R41" i="24"/>
  <c r="I33" i="24"/>
  <c r="H33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T44" i="24" l="1"/>
  <c r="B4" i="14" s="1"/>
  <c r="R52" i="26"/>
  <c r="R55" i="26" s="1"/>
  <c r="R49" i="26"/>
  <c r="R53" i="26"/>
  <c r="T55" i="26" s="1"/>
  <c r="T52" i="26"/>
  <c r="T44" i="26"/>
  <c r="B3" i="14" s="1"/>
  <c r="K33" i="26"/>
  <c r="L33" i="26"/>
  <c r="T53" i="26"/>
  <c r="R44" i="26"/>
  <c r="R50" i="26"/>
  <c r="T44" i="25"/>
  <c r="B6" i="14" s="1"/>
  <c r="T52" i="25"/>
  <c r="L33" i="25"/>
  <c r="T53" i="25"/>
  <c r="R52" i="25"/>
  <c r="R55" i="25" s="1"/>
  <c r="R49" i="25"/>
  <c r="R53" i="25"/>
  <c r="T55" i="25" s="1"/>
  <c r="K33" i="25"/>
  <c r="R44" i="25"/>
  <c r="R50" i="25"/>
  <c r="R44" i="24"/>
  <c r="T52" i="24"/>
  <c r="L33" i="24"/>
  <c r="T53" i="24"/>
  <c r="R49" i="24"/>
  <c r="R52" i="24"/>
  <c r="R55" i="24" s="1"/>
  <c r="K33" i="24"/>
  <c r="R53" i="24"/>
  <c r="T55" i="24" s="1"/>
  <c r="R50" i="24"/>
  <c r="R61" i="3"/>
  <c r="R60" i="3"/>
  <c r="R59" i="3"/>
  <c r="R58" i="3"/>
  <c r="M2" i="3"/>
  <c r="L2" i="3"/>
  <c r="R42" i="3"/>
  <c r="R41" i="3"/>
  <c r="W2" i="3"/>
  <c r="V2" i="3"/>
  <c r="U2" i="3"/>
  <c r="Q2" i="3"/>
  <c r="T44" i="3" l="1"/>
  <c r="B5" i="14" s="1"/>
  <c r="R44" i="3"/>
  <c r="Q26" i="3" l="1"/>
  <c r="R26" i="3"/>
  <c r="S26" i="3"/>
  <c r="T26" i="3"/>
  <c r="U26" i="3"/>
  <c r="V26" i="3"/>
  <c r="W26" i="3"/>
  <c r="X26" i="3"/>
  <c r="Q10" i="3"/>
  <c r="R10" i="3"/>
  <c r="S10" i="3"/>
  <c r="T10" i="3"/>
  <c r="U10" i="3"/>
  <c r="V10" i="3"/>
  <c r="W10" i="3"/>
  <c r="X10" i="3"/>
  <c r="Q11" i="3"/>
  <c r="R11" i="3"/>
  <c r="S11" i="3"/>
  <c r="T11" i="3"/>
  <c r="U11" i="3"/>
  <c r="V11" i="3"/>
  <c r="W11" i="3"/>
  <c r="X11" i="3"/>
  <c r="Q27" i="3"/>
  <c r="R27" i="3"/>
  <c r="S27" i="3"/>
  <c r="T27" i="3"/>
  <c r="U27" i="3"/>
  <c r="V27" i="3"/>
  <c r="W27" i="3"/>
  <c r="X27" i="3"/>
  <c r="R2" i="3"/>
  <c r="S2" i="3"/>
  <c r="T2" i="3"/>
  <c r="X2" i="3"/>
  <c r="Q18" i="3"/>
  <c r="R18" i="3"/>
  <c r="S18" i="3"/>
  <c r="T18" i="3"/>
  <c r="U18" i="3"/>
  <c r="V18" i="3"/>
  <c r="W18" i="3"/>
  <c r="X18" i="3"/>
  <c r="Q19" i="3"/>
  <c r="R19" i="3"/>
  <c r="S19" i="3"/>
  <c r="T19" i="3"/>
  <c r="U19" i="3"/>
  <c r="V19" i="3"/>
  <c r="W19" i="3"/>
  <c r="X19" i="3"/>
  <c r="Q3" i="3"/>
  <c r="R3" i="3"/>
  <c r="S3" i="3"/>
  <c r="T3" i="3"/>
  <c r="U3" i="3"/>
  <c r="V3" i="3"/>
  <c r="W3" i="3"/>
  <c r="X3" i="3"/>
  <c r="Q20" i="3"/>
  <c r="R20" i="3"/>
  <c r="S20" i="3"/>
  <c r="T20" i="3"/>
  <c r="U20" i="3"/>
  <c r="V20" i="3"/>
  <c r="W20" i="3"/>
  <c r="X20" i="3"/>
  <c r="Q12" i="3"/>
  <c r="R12" i="3"/>
  <c r="S12" i="3"/>
  <c r="T12" i="3"/>
  <c r="U12" i="3"/>
  <c r="V12" i="3"/>
  <c r="W12" i="3"/>
  <c r="X12" i="3"/>
  <c r="Q28" i="3"/>
  <c r="R28" i="3"/>
  <c r="S28" i="3"/>
  <c r="T28" i="3"/>
  <c r="U28" i="3"/>
  <c r="V28" i="3"/>
  <c r="W28" i="3"/>
  <c r="X28" i="3"/>
  <c r="Q13" i="3"/>
  <c r="R13" i="3"/>
  <c r="S13" i="3"/>
  <c r="T13" i="3"/>
  <c r="U13" i="3"/>
  <c r="V13" i="3"/>
  <c r="W13" i="3"/>
  <c r="X13" i="3"/>
  <c r="Q29" i="3"/>
  <c r="R29" i="3"/>
  <c r="S29" i="3"/>
  <c r="T29" i="3"/>
  <c r="U29" i="3"/>
  <c r="V29" i="3"/>
  <c r="W29" i="3"/>
  <c r="X29" i="3"/>
  <c r="Q21" i="3"/>
  <c r="R21" i="3"/>
  <c r="S21" i="3"/>
  <c r="T21" i="3"/>
  <c r="U21" i="3"/>
  <c r="V21" i="3"/>
  <c r="W21" i="3"/>
  <c r="X21" i="3"/>
  <c r="Q14" i="3"/>
  <c r="R14" i="3"/>
  <c r="S14" i="3"/>
  <c r="T14" i="3"/>
  <c r="U14" i="3"/>
  <c r="V14" i="3"/>
  <c r="W14" i="3"/>
  <c r="X14" i="3"/>
  <c r="Q22" i="3"/>
  <c r="R22" i="3"/>
  <c r="S22" i="3"/>
  <c r="T22" i="3"/>
  <c r="U22" i="3"/>
  <c r="V22" i="3"/>
  <c r="W22" i="3"/>
  <c r="X22" i="3"/>
  <c r="Q4" i="3"/>
  <c r="R4" i="3"/>
  <c r="S4" i="3"/>
  <c r="T4" i="3"/>
  <c r="U4" i="3"/>
  <c r="V4" i="3"/>
  <c r="W4" i="3"/>
  <c r="X4" i="3"/>
  <c r="Q5" i="3"/>
  <c r="R5" i="3"/>
  <c r="S5" i="3"/>
  <c r="T5" i="3"/>
  <c r="U5" i="3"/>
  <c r="V5" i="3"/>
  <c r="W5" i="3"/>
  <c r="X5" i="3"/>
  <c r="Q6" i="3"/>
  <c r="R6" i="3"/>
  <c r="S6" i="3"/>
  <c r="T6" i="3"/>
  <c r="U6" i="3"/>
  <c r="V6" i="3"/>
  <c r="W6" i="3"/>
  <c r="X6" i="3"/>
  <c r="Q15" i="3"/>
  <c r="R15" i="3"/>
  <c r="S15" i="3"/>
  <c r="T15" i="3"/>
  <c r="U15" i="3"/>
  <c r="V15" i="3"/>
  <c r="W15" i="3"/>
  <c r="X15" i="3"/>
  <c r="Q7" i="3"/>
  <c r="R7" i="3"/>
  <c r="S7" i="3"/>
  <c r="T7" i="3"/>
  <c r="U7" i="3"/>
  <c r="V7" i="3"/>
  <c r="W7" i="3"/>
  <c r="X7" i="3"/>
  <c r="Q8" i="3"/>
  <c r="R8" i="3"/>
  <c r="S8" i="3"/>
  <c r="T8" i="3"/>
  <c r="U8" i="3"/>
  <c r="V8" i="3"/>
  <c r="W8" i="3"/>
  <c r="X8" i="3"/>
  <c r="Q30" i="3"/>
  <c r="R30" i="3"/>
  <c r="S30" i="3"/>
  <c r="T30" i="3"/>
  <c r="U30" i="3"/>
  <c r="V30" i="3"/>
  <c r="W30" i="3"/>
  <c r="X30" i="3"/>
  <c r="Q23" i="3"/>
  <c r="R23" i="3"/>
  <c r="S23" i="3"/>
  <c r="T23" i="3"/>
  <c r="U23" i="3"/>
  <c r="V23" i="3"/>
  <c r="W23" i="3"/>
  <c r="X23" i="3"/>
  <c r="Q16" i="3"/>
  <c r="R16" i="3"/>
  <c r="S16" i="3"/>
  <c r="T16" i="3"/>
  <c r="U16" i="3"/>
  <c r="V16" i="3"/>
  <c r="W16" i="3"/>
  <c r="X16" i="3"/>
  <c r="Q17" i="3"/>
  <c r="R17" i="3"/>
  <c r="S17" i="3"/>
  <c r="T17" i="3"/>
  <c r="U17" i="3"/>
  <c r="V17" i="3"/>
  <c r="W17" i="3"/>
  <c r="X17" i="3"/>
  <c r="Q31" i="3"/>
  <c r="R31" i="3"/>
  <c r="S31" i="3"/>
  <c r="T31" i="3"/>
  <c r="U31" i="3"/>
  <c r="V31" i="3"/>
  <c r="W31" i="3"/>
  <c r="X31" i="3"/>
  <c r="Q9" i="3"/>
  <c r="R9" i="3"/>
  <c r="S9" i="3"/>
  <c r="T9" i="3"/>
  <c r="U9" i="3"/>
  <c r="V9" i="3"/>
  <c r="W9" i="3"/>
  <c r="X9" i="3"/>
  <c r="Q24" i="3"/>
  <c r="R24" i="3"/>
  <c r="S24" i="3"/>
  <c r="T24" i="3"/>
  <c r="U24" i="3"/>
  <c r="V24" i="3"/>
  <c r="W24" i="3"/>
  <c r="X24" i="3"/>
  <c r="X25" i="3"/>
  <c r="W25" i="3"/>
  <c r="V25" i="3"/>
  <c r="U25" i="3"/>
  <c r="T25" i="3"/>
  <c r="S25" i="3"/>
  <c r="R25" i="3"/>
  <c r="Q25" i="3"/>
  <c r="R47" i="3" l="1"/>
  <c r="I33" i="3"/>
  <c r="H33" i="3"/>
  <c r="P24" i="3"/>
  <c r="O24" i="3"/>
  <c r="N24" i="3"/>
  <c r="M24" i="3"/>
  <c r="L24" i="3"/>
  <c r="K24" i="3"/>
  <c r="J24" i="3"/>
  <c r="P9" i="3"/>
  <c r="O9" i="3"/>
  <c r="N9" i="3"/>
  <c r="M9" i="3"/>
  <c r="L9" i="3"/>
  <c r="K9" i="3"/>
  <c r="J9" i="3"/>
  <c r="P31" i="3"/>
  <c r="O31" i="3"/>
  <c r="N31" i="3"/>
  <c r="M31" i="3"/>
  <c r="L31" i="3"/>
  <c r="K31" i="3"/>
  <c r="J31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23" i="3"/>
  <c r="O23" i="3"/>
  <c r="N23" i="3"/>
  <c r="M23" i="3"/>
  <c r="L23" i="3"/>
  <c r="K23" i="3"/>
  <c r="J23" i="3"/>
  <c r="P30" i="3"/>
  <c r="O30" i="3"/>
  <c r="N30" i="3"/>
  <c r="M30" i="3"/>
  <c r="L30" i="3"/>
  <c r="K30" i="3"/>
  <c r="J30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15" i="3"/>
  <c r="O15" i="3"/>
  <c r="N15" i="3"/>
  <c r="M15" i="3"/>
  <c r="L15" i="3"/>
  <c r="K15" i="3"/>
  <c r="J15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P4" i="3"/>
  <c r="O4" i="3"/>
  <c r="N4" i="3"/>
  <c r="M4" i="3"/>
  <c r="L4" i="3"/>
  <c r="K4" i="3"/>
  <c r="J4" i="3"/>
  <c r="P22" i="3"/>
  <c r="O22" i="3"/>
  <c r="N22" i="3"/>
  <c r="M22" i="3"/>
  <c r="L22" i="3"/>
  <c r="K22" i="3"/>
  <c r="J22" i="3"/>
  <c r="P14" i="3"/>
  <c r="O14" i="3"/>
  <c r="N14" i="3"/>
  <c r="M14" i="3"/>
  <c r="L14" i="3"/>
  <c r="K14" i="3"/>
  <c r="J14" i="3"/>
  <c r="P21" i="3"/>
  <c r="O21" i="3"/>
  <c r="N21" i="3"/>
  <c r="M21" i="3"/>
  <c r="L21" i="3"/>
  <c r="K21" i="3"/>
  <c r="J21" i="3"/>
  <c r="P29" i="3"/>
  <c r="O29" i="3"/>
  <c r="N29" i="3"/>
  <c r="M29" i="3"/>
  <c r="L29" i="3"/>
  <c r="K29" i="3"/>
  <c r="J29" i="3"/>
  <c r="P13" i="3"/>
  <c r="O13" i="3"/>
  <c r="N13" i="3"/>
  <c r="M13" i="3"/>
  <c r="L13" i="3"/>
  <c r="K13" i="3"/>
  <c r="J13" i="3"/>
  <c r="P28" i="3"/>
  <c r="O28" i="3"/>
  <c r="N28" i="3"/>
  <c r="M28" i="3"/>
  <c r="L28" i="3"/>
  <c r="K28" i="3"/>
  <c r="J28" i="3"/>
  <c r="P12" i="3"/>
  <c r="O12" i="3"/>
  <c r="N12" i="3"/>
  <c r="M12" i="3"/>
  <c r="L12" i="3"/>
  <c r="K12" i="3"/>
  <c r="J12" i="3"/>
  <c r="P20" i="3"/>
  <c r="O20" i="3"/>
  <c r="N20" i="3"/>
  <c r="M20" i="3"/>
  <c r="L20" i="3"/>
  <c r="K20" i="3"/>
  <c r="J20" i="3"/>
  <c r="P3" i="3"/>
  <c r="O3" i="3"/>
  <c r="N3" i="3"/>
  <c r="M3" i="3"/>
  <c r="L3" i="3"/>
  <c r="K3" i="3"/>
  <c r="J3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2" i="3"/>
  <c r="O2" i="3"/>
  <c r="N2" i="3"/>
  <c r="K2" i="3"/>
  <c r="J2" i="3"/>
  <c r="P27" i="3"/>
  <c r="O27" i="3"/>
  <c r="N27" i="3"/>
  <c r="M27" i="3"/>
  <c r="L27" i="3"/>
  <c r="K27" i="3"/>
  <c r="J27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26" i="3"/>
  <c r="O26" i="3"/>
  <c r="N26" i="3"/>
  <c r="M26" i="3"/>
  <c r="L26" i="3"/>
  <c r="K26" i="3"/>
  <c r="J26" i="3"/>
  <c r="P25" i="3"/>
  <c r="O25" i="3"/>
  <c r="N25" i="3"/>
  <c r="M25" i="3"/>
  <c r="L25" i="3"/>
  <c r="K25" i="3"/>
  <c r="J25" i="3"/>
  <c r="R53" i="3" l="1"/>
  <c r="T55" i="3" s="1"/>
  <c r="R52" i="3"/>
  <c r="R55" i="3" s="1"/>
  <c r="R49" i="3"/>
  <c r="T52" i="3"/>
  <c r="T53" i="3"/>
  <c r="R50" i="3"/>
  <c r="K33" i="3"/>
  <c r="L33" i="3"/>
</calcChain>
</file>

<file path=xl/sharedStrings.xml><?xml version="1.0" encoding="utf-8"?>
<sst xmlns="http://schemas.openxmlformats.org/spreadsheetml/2006/main" count="437" uniqueCount="81">
  <si>
    <t>Washington Capitals</t>
  </si>
  <si>
    <t>Dallas Stars</t>
  </si>
  <si>
    <t>St. Louis Blues</t>
  </si>
  <si>
    <t>Florida Panthers</t>
  </si>
  <si>
    <t>Chicago Blackhawks</t>
  </si>
  <si>
    <t>Anaheim Ducks</t>
  </si>
  <si>
    <t>San Jose Sharks</t>
  </si>
  <si>
    <t>Tampa Bay Lightning</t>
  </si>
  <si>
    <t>Boston Bruins</t>
  </si>
  <si>
    <t>Philadelphia Flyers</t>
  </si>
  <si>
    <t>Nashville Predators</t>
  </si>
  <si>
    <t>Detroit Red Wings</t>
  </si>
  <si>
    <t>Colorado Avalanche</t>
  </si>
  <si>
    <t>Minnesota Wild</t>
  </si>
  <si>
    <t>Ottawa Senators</t>
  </si>
  <si>
    <t>Montreal Canadiens</t>
  </si>
  <si>
    <t>Carolina Hurricanes</t>
  </si>
  <si>
    <t>Buffalo Sabres</t>
  </si>
  <si>
    <t>Arizona Coyotes</t>
  </si>
  <si>
    <t>Winnipeg Jets</t>
  </si>
  <si>
    <t>Calgary Flames</t>
  </si>
  <si>
    <t>Columbus Blue Jackets</t>
  </si>
  <si>
    <t>Vancouver Canucks</t>
  </si>
  <si>
    <t>Edmonton Oilers</t>
  </si>
  <si>
    <t>Toronto Maple Leafs</t>
  </si>
  <si>
    <t>Team</t>
  </si>
  <si>
    <t>d1i</t>
  </si>
  <si>
    <t>d2i</t>
  </si>
  <si>
    <t>mi</t>
  </si>
  <si>
    <t>ai</t>
  </si>
  <si>
    <t>ci</t>
  </si>
  <si>
    <t>pi</t>
  </si>
  <si>
    <t>ti - current system</t>
  </si>
  <si>
    <t>Maximize</t>
  </si>
  <si>
    <t>from wildcard:</t>
  </si>
  <si>
    <t>from top division:</t>
  </si>
  <si>
    <t>Points</t>
  </si>
  <si>
    <t>i</t>
  </si>
  <si>
    <t>LA Kings</t>
  </si>
  <si>
    <t>NJ Devils</t>
  </si>
  <si>
    <t>NY Islanders</t>
  </si>
  <si>
    <t>NY Rangers</t>
  </si>
  <si>
    <t>Pittsburg Penguins</t>
  </si>
  <si>
    <t>(ai+mi)*(d1i+d2i)</t>
  </si>
  <si>
    <t>(ci+pi)* (d1i+d2i)</t>
  </si>
  <si>
    <t>Sum (if applicable)</t>
  </si>
  <si>
    <t>d1i+d2i</t>
  </si>
  <si>
    <t>Subject to</t>
  </si>
  <si>
    <t>.=</t>
  </si>
  <si>
    <t>&lt;=</t>
  </si>
  <si>
    <t>ai*d1i</t>
  </si>
  <si>
    <t>mi*d1i</t>
  </si>
  <si>
    <t>ci*d1i</t>
  </si>
  <si>
    <t>pi*d1i</t>
  </si>
  <si>
    <t>Eastern Conference</t>
  </si>
  <si>
    <t>Western Conference</t>
  </si>
  <si>
    <t>&gt;=</t>
  </si>
  <si>
    <t>EC teams &gt;= WC teams</t>
  </si>
  <si>
    <t>This is to ensure EC have more teams than WC (this gets rid of the situation where WC &gt; EC, making it unfair to EC teams in terms of points earned and guarantee of playoff spot)</t>
  </si>
  <si>
    <t>Atlantic Division (EC)</t>
  </si>
  <si>
    <t>Metropolitan Division (EC)</t>
  </si>
  <si>
    <t>Central Division (WC)</t>
  </si>
  <si>
    <t>Pacific Division (WC)</t>
  </si>
  <si>
    <t>d1i*ti*mi</t>
  </si>
  <si>
    <t>d2i*ti*mi</t>
  </si>
  <si>
    <t>d1i*ti*ai</t>
  </si>
  <si>
    <t>d2i*ti*ai</t>
  </si>
  <si>
    <t>d1i*ti*ci</t>
  </si>
  <si>
    <t>d2i*ti*ci</t>
  </si>
  <si>
    <t>d1i*ti*pi</t>
  </si>
  <si>
    <t>d2i*ti*pi</t>
  </si>
  <si>
    <t>Don’t change</t>
  </si>
  <si>
    <t>don’t change, decision variables det values</t>
  </si>
  <si>
    <t>decision variables</t>
  </si>
  <si>
    <t>change (based on points/point system)</t>
  </si>
  <si>
    <t>Jen Added Constraints</t>
  </si>
  <si>
    <t xml:space="preserve">These constraints say that at most 4 teams from each division can make the playoff based on being top of their division. </t>
  </si>
  <si>
    <t>*Also, updated that we want to prioritize being on top of their division over having a wildcard spot, so 2*points in top position + 1*points in wildcard</t>
  </si>
  <si>
    <t>Actual total points to playoff:</t>
  </si>
  <si>
    <t>Teams from division that make playoffs</t>
  </si>
  <si>
    <t>Total Points to Playoffs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</si>
</sst>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2" borderId="1" xfId="0" applyFill="1" applyBorder="1"/>
    <xf numFmtId="0" fontId="2" fillId="0" borderId="2" xfId="0" applyFont="1" applyFill="1" applyBorder="1" applyAlignment="1">
      <alignment vertical="center" wrapText="1"/>
    </xf>
    <xf numFmtId="0" fontId="0" fillId="5" borderId="1" xfId="0" applyFill="1" applyBorder="1"/>
    <xf numFmtId="1" fontId="0" fillId="0" borderId="0" xfId="0" applyNumberFormat="1"/>
    <xf numFmtId="0" fontId="0" fillId="0" borderId="0" xfId="0" applyFill="1"/>
    <xf numFmtId="0" fontId="0" fillId="6" borderId="1" xfId="0" applyFill="1" applyBorder="1"/>
    <xf numFmtId="0" fontId="2" fillId="0" borderId="3" xfId="0" applyFont="1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1" fillId="10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10</xdr:col>
      <xdr:colOff>562700</xdr:colOff>
      <xdr:row>41</xdr:row>
      <xdr:rowOff>86428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2857500"/>
          <a:ext cx="5191850" cy="50394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19050</xdr:colOff>
      <xdr:row>0</xdr:row>
      <xdr:rowOff>504825</xdr:rowOff>
    </xdr:from>
    <xdr:to>
      <xdr:col>35</xdr:col>
      <xdr:colOff>168001</xdr:colOff>
      <xdr:row>19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1175" y="504825"/>
          <a:ext cx="5911576" cy="3810000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</xdr:colOff>
      <xdr:row>0</xdr:row>
      <xdr:rowOff>504825</xdr:rowOff>
    </xdr:from>
    <xdr:to>
      <xdr:col>34</xdr:col>
      <xdr:colOff>57875</xdr:colOff>
      <xdr:row>25</xdr:row>
      <xdr:rowOff>172153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1175" y="504825"/>
          <a:ext cx="5191850" cy="5039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D16" sqref="D16"/>
    </sheetView>
  </sheetViews>
  <sheetFormatPr defaultRowHeight="15" x14ac:dyDescent="0.25"/>
  <cols>
    <col min="1" max="1" width="36.5703125" bestFit="1" customWidth="1"/>
    <col min="2" max="2" width="16.140625" bestFit="1" customWidth="1"/>
    <col min="3" max="3" width="17" bestFit="1" customWidth="1"/>
    <col min="4" max="4" width="11.42578125" bestFit="1" customWidth="1"/>
    <col min="5" max="5" width="12.28515625" bestFit="1" customWidth="1"/>
  </cols>
  <sheetData>
    <row r="1" spans="1:2" x14ac:dyDescent="0.25">
      <c r="A1" t="s">
        <v>79</v>
      </c>
      <c r="B1" t="s">
        <v>80</v>
      </c>
    </row>
    <row r="2" spans="1:2" x14ac:dyDescent="0.25">
      <c r="A2" s="10">
        <v>0</v>
      </c>
      <c r="B2">
        <f>'14.0'!T44</f>
        <v>1649</v>
      </c>
    </row>
    <row r="3" spans="1:2" x14ac:dyDescent="0.25">
      <c r="A3" s="10">
        <v>1</v>
      </c>
      <c r="B3">
        <f>'14.1'!T44</f>
        <v>1649</v>
      </c>
    </row>
    <row r="4" spans="1:2" x14ac:dyDescent="0.25">
      <c r="A4" s="10">
        <v>2</v>
      </c>
      <c r="B4">
        <f>'14.2'!T44</f>
        <v>1649</v>
      </c>
    </row>
    <row r="5" spans="1:2" x14ac:dyDescent="0.25">
      <c r="A5" s="10">
        <v>3</v>
      </c>
      <c r="B5">
        <f>'14.3 - model of cur system'!T44</f>
        <v>2237</v>
      </c>
    </row>
    <row r="6" spans="1:2" x14ac:dyDescent="0.25">
      <c r="A6" s="10">
        <v>4</v>
      </c>
      <c r="B6">
        <f>'14.4'!T44</f>
        <v>1647</v>
      </c>
    </row>
    <row r="7" spans="1:2" x14ac:dyDescent="0.25">
      <c r="A7" s="10"/>
    </row>
    <row r="8" spans="1:2" x14ac:dyDescent="0.25">
      <c r="A8" s="10"/>
    </row>
    <row r="9" spans="1:2" x14ac:dyDescent="0.25">
      <c r="A9" s="10"/>
    </row>
    <row r="10" spans="1:2" x14ac:dyDescent="0.25">
      <c r="A10" s="10"/>
    </row>
    <row r="11" spans="1:2" x14ac:dyDescent="0.25">
      <c r="A11" s="10"/>
    </row>
    <row r="12" spans="1:2" x14ac:dyDescent="0.25">
      <c r="A12" s="10"/>
    </row>
    <row r="13" spans="1:2" x14ac:dyDescent="0.25">
      <c r="A13" s="10"/>
    </row>
    <row r="14" spans="1:2" x14ac:dyDescent="0.25">
      <c r="A14" s="10"/>
    </row>
    <row r="15" spans="1:2" x14ac:dyDescent="0.25">
      <c r="A15" s="10"/>
    </row>
    <row r="16" spans="1:2" x14ac:dyDescent="0.25">
      <c r="A16" s="10"/>
    </row>
    <row r="17" spans="1:1" x14ac:dyDescent="0.25">
      <c r="A17" s="10"/>
    </row>
    <row r="18" spans="1:1" x14ac:dyDescent="0.25">
      <c r="A18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20" workbookViewId="0">
      <selection activeCell="G2" sqref="G2:G31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83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93</v>
      </c>
      <c r="H3" s="7">
        <v>0</v>
      </c>
      <c r="I3" s="7">
        <v>1</v>
      </c>
      <c r="J3" s="9">
        <f t="shared" si="0"/>
        <v>1</v>
      </c>
      <c r="K3" s="9">
        <f t="shared" si="1"/>
        <v>1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93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88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79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96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96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94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94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109</v>
      </c>
      <c r="H8" s="7">
        <v>0</v>
      </c>
      <c r="I8" s="7">
        <v>1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109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90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117</v>
      </c>
      <c r="H10" s="7">
        <v>0</v>
      </c>
      <c r="I10" s="7">
        <v>1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117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52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0</v>
      </c>
      <c r="I12" s="7">
        <v>1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0</v>
      </c>
      <c r="T12" s="15">
        <f t="shared" si="7"/>
        <v>93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66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100</v>
      </c>
      <c r="H14" s="7">
        <v>0</v>
      </c>
      <c r="I14" s="7">
        <v>1</v>
      </c>
      <c r="J14" s="9">
        <f t="shared" si="0"/>
        <v>1</v>
      </c>
      <c r="K14" s="9">
        <f t="shared" si="1"/>
        <v>1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100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88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101</v>
      </c>
      <c r="H16" s="7">
        <v>0</v>
      </c>
      <c r="I16" s="7">
        <v>1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101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84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107</v>
      </c>
      <c r="H18" s="7">
        <v>0</v>
      </c>
      <c r="I18" s="7">
        <v>1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107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112</v>
      </c>
      <c r="H19" s="7">
        <v>0</v>
      </c>
      <c r="I19" s="7">
        <v>1</v>
      </c>
      <c r="J19" s="9">
        <f t="shared" si="0"/>
        <v>1</v>
      </c>
      <c r="K19" s="9">
        <f t="shared" si="1"/>
        <v>0</v>
      </c>
      <c r="L19" s="9">
        <f t="shared" si="9"/>
        <v>1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112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91</v>
      </c>
      <c r="H20" s="7">
        <v>0</v>
      </c>
      <c r="I20" s="7">
        <v>1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91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98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98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88</v>
      </c>
      <c r="H22" s="7">
        <v>0</v>
      </c>
      <c r="I22" s="7">
        <v>0</v>
      </c>
      <c r="J22" s="9">
        <f t="shared" si="0"/>
        <v>0</v>
      </c>
      <c r="K22" s="9">
        <f t="shared" si="1"/>
        <v>0</v>
      </c>
      <c r="L22" s="9">
        <f t="shared" si="9"/>
        <v>0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0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111</v>
      </c>
      <c r="H23" s="7">
        <v>0</v>
      </c>
      <c r="I23" s="7">
        <v>1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111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84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116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0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0</v>
      </c>
      <c r="X25" s="14">
        <f t="shared" si="8"/>
        <v>116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89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67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100</v>
      </c>
      <c r="H29" s="7">
        <v>0</v>
      </c>
      <c r="I29" s="7">
        <v>1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100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111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0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0</v>
      </c>
      <c r="X30" s="14">
        <f t="shared" si="8"/>
        <v>111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83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0</v>
      </c>
      <c r="I33">
        <f>SUM(I2:I31)</f>
        <v>16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31.5" x14ac:dyDescent="0.25">
      <c r="Q41" s="1" t="s">
        <v>35</v>
      </c>
      <c r="R41">
        <f>SUMPRODUCT(G2:G31,H2:H31)</f>
        <v>0</v>
      </c>
    </row>
    <row r="42" spans="1:26" ht="31.5" x14ac:dyDescent="0.25">
      <c r="Q42" s="1" t="s">
        <v>34</v>
      </c>
      <c r="R42">
        <f>SUMPRODUCT(G2:G31,I2:I31)</f>
        <v>1649</v>
      </c>
    </row>
    <row r="43" spans="1:26" x14ac:dyDescent="0.25">
      <c r="T43" t="s">
        <v>78</v>
      </c>
    </row>
    <row r="44" spans="1:26" ht="31.5" x14ac:dyDescent="0.25">
      <c r="Q44" s="1" t="s">
        <v>33</v>
      </c>
      <c r="R44">
        <f>2*R41+R42</f>
        <v>1649</v>
      </c>
      <c r="T44">
        <f>R41+R42</f>
        <v>1649</v>
      </c>
      <c r="X44" t="s">
        <v>77</v>
      </c>
    </row>
    <row r="46" spans="1:26" ht="31.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0</v>
      </c>
      <c r="S52" t="s">
        <v>48</v>
      </c>
      <c r="T52">
        <f>SUM(N2:N31)</f>
        <v>0</v>
      </c>
    </row>
    <row r="53" spans="17:21" x14ac:dyDescent="0.25">
      <c r="Q53" t="s">
        <v>55</v>
      </c>
      <c r="R53">
        <f>SUM(O2:O31)</f>
        <v>0</v>
      </c>
      <c r="S53" t="s">
        <v>48</v>
      </c>
      <c r="T53">
        <f>SUM(P2:P31)</f>
        <v>0</v>
      </c>
    </row>
    <row r="55" spans="17:21" x14ac:dyDescent="0.25">
      <c r="Q55" t="s">
        <v>57</v>
      </c>
      <c r="R55">
        <f>R52</f>
        <v>0</v>
      </c>
      <c r="S55" t="s">
        <v>56</v>
      </c>
      <c r="T55">
        <f>R53</f>
        <v>0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0</v>
      </c>
      <c r="S58" t="s">
        <v>49</v>
      </c>
      <c r="T58">
        <v>0</v>
      </c>
      <c r="U58" t="s">
        <v>76</v>
      </c>
    </row>
    <row r="59" spans="17:21" x14ac:dyDescent="0.25">
      <c r="R59">
        <f>SUMPRODUCT($H$2:$H$31,$D$2:$D$31)</f>
        <v>0</v>
      </c>
      <c r="S59" t="s">
        <v>49</v>
      </c>
      <c r="T59">
        <v>0</v>
      </c>
    </row>
    <row r="60" spans="17:21" x14ac:dyDescent="0.25">
      <c r="R60">
        <f>SUMPRODUCT($H$2:$H$31,$E$2:$E$31)</f>
        <v>0</v>
      </c>
      <c r="S60" t="s">
        <v>49</v>
      </c>
      <c r="T60">
        <v>0</v>
      </c>
    </row>
    <row r="61" spans="17:21" x14ac:dyDescent="0.25">
      <c r="R61">
        <f>SUMPRODUCT($H$2:$H$31,$F$2:$F$31)</f>
        <v>0</v>
      </c>
      <c r="S61" t="s">
        <v>49</v>
      </c>
      <c r="T61">
        <v>0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3" workbookViewId="0">
      <selection activeCell="AA11" sqref="AA11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17" max="17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83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93</v>
      </c>
      <c r="H3" s="7">
        <v>0</v>
      </c>
      <c r="I3" s="7">
        <v>1</v>
      </c>
      <c r="J3" s="9">
        <f t="shared" si="0"/>
        <v>1</v>
      </c>
      <c r="K3" s="9">
        <f t="shared" si="1"/>
        <v>1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93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88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79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96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96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94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94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109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1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109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90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117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1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117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52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0</v>
      </c>
      <c r="I12" s="7">
        <v>1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0</v>
      </c>
      <c r="T12" s="15">
        <f t="shared" si="7"/>
        <v>93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66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100</v>
      </c>
      <c r="H14" s="7">
        <v>0</v>
      </c>
      <c r="I14" s="7">
        <v>1</v>
      </c>
      <c r="J14" s="9">
        <f t="shared" si="0"/>
        <v>1</v>
      </c>
      <c r="K14" s="9">
        <f t="shared" si="1"/>
        <v>1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100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88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101</v>
      </c>
      <c r="H16" s="7">
        <v>0</v>
      </c>
      <c r="I16" s="7">
        <v>1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101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84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107</v>
      </c>
      <c r="H18" s="7">
        <v>0</v>
      </c>
      <c r="I18" s="7">
        <v>1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107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112</v>
      </c>
      <c r="H19" s="7">
        <v>1</v>
      </c>
      <c r="I19" s="7">
        <v>0</v>
      </c>
      <c r="J19" s="9">
        <f t="shared" si="0"/>
        <v>1</v>
      </c>
      <c r="K19" s="9">
        <f t="shared" si="1"/>
        <v>0</v>
      </c>
      <c r="L19" s="9">
        <f t="shared" si="9"/>
        <v>1</v>
      </c>
      <c r="M19" s="9">
        <f t="shared" si="10"/>
        <v>0</v>
      </c>
      <c r="N19" s="9">
        <f t="shared" si="2"/>
        <v>0</v>
      </c>
      <c r="O19" s="9">
        <f t="shared" si="3"/>
        <v>1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112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91</v>
      </c>
      <c r="H20" s="7">
        <v>0</v>
      </c>
      <c r="I20" s="7">
        <v>1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91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98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98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88</v>
      </c>
      <c r="H22" s="7">
        <v>0</v>
      </c>
      <c r="I22" s="7">
        <v>0</v>
      </c>
      <c r="J22" s="9">
        <f t="shared" si="0"/>
        <v>0</v>
      </c>
      <c r="K22" s="9">
        <f t="shared" si="1"/>
        <v>0</v>
      </c>
      <c r="L22" s="9">
        <f t="shared" si="9"/>
        <v>0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0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111</v>
      </c>
      <c r="H23" s="7">
        <v>0</v>
      </c>
      <c r="I23" s="7">
        <v>1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111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84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116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116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89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67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100</v>
      </c>
      <c r="H29" s="7">
        <v>0</v>
      </c>
      <c r="I29" s="7">
        <v>1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100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111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0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0</v>
      </c>
      <c r="X30" s="14">
        <f t="shared" si="8"/>
        <v>111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83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4</v>
      </c>
      <c r="I33">
        <f>SUM(I2:I31)</f>
        <v>12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15.75" x14ac:dyDescent="0.25">
      <c r="Q41" s="1" t="s">
        <v>35</v>
      </c>
      <c r="R41">
        <f>SUMPRODUCT(G2:G31,H2:H31)</f>
        <v>454</v>
      </c>
    </row>
    <row r="42" spans="1:26" ht="15.75" x14ac:dyDescent="0.25">
      <c r="Q42" s="1" t="s">
        <v>34</v>
      </c>
      <c r="R42">
        <f>SUMPRODUCT(G2:G31,I2:I31)</f>
        <v>1195</v>
      </c>
    </row>
    <row r="43" spans="1:26" x14ac:dyDescent="0.25">
      <c r="T43" t="s">
        <v>78</v>
      </c>
    </row>
    <row r="44" spans="1:26" ht="15.75" x14ac:dyDescent="0.25">
      <c r="Q44" s="1" t="s">
        <v>33</v>
      </c>
      <c r="R44">
        <f>2*R41+R42</f>
        <v>2103</v>
      </c>
      <c r="T44">
        <f>R41+R42</f>
        <v>1649</v>
      </c>
      <c r="X44" t="s">
        <v>77</v>
      </c>
    </row>
    <row r="46" spans="1:26" ht="15.7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1</v>
      </c>
      <c r="S52" t="s">
        <v>48</v>
      </c>
      <c r="T52">
        <f>SUM(N2:N31)</f>
        <v>1</v>
      </c>
    </row>
    <row r="53" spans="17:21" x14ac:dyDescent="0.25">
      <c r="Q53" t="s">
        <v>55</v>
      </c>
      <c r="R53">
        <f>SUM(O2:O31)</f>
        <v>1</v>
      </c>
      <c r="S53" t="s">
        <v>48</v>
      </c>
      <c r="T53">
        <f>SUM(P2:P31)</f>
        <v>1</v>
      </c>
    </row>
    <row r="55" spans="17:21" x14ac:dyDescent="0.25">
      <c r="Q55" t="s">
        <v>57</v>
      </c>
      <c r="R55">
        <f>R52</f>
        <v>1</v>
      </c>
      <c r="S55" t="s">
        <v>56</v>
      </c>
      <c r="T55">
        <f>R53</f>
        <v>1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1</v>
      </c>
      <c r="S58" t="s">
        <v>49</v>
      </c>
      <c r="T58">
        <v>1</v>
      </c>
      <c r="U58" t="s">
        <v>76</v>
      </c>
    </row>
    <row r="59" spans="17:21" x14ac:dyDescent="0.25">
      <c r="R59">
        <f>SUMPRODUCT($H$2:$H$31,$D$2:$D$31)</f>
        <v>1</v>
      </c>
      <c r="S59" t="s">
        <v>49</v>
      </c>
      <c r="T59">
        <v>1</v>
      </c>
    </row>
    <row r="60" spans="17:21" x14ac:dyDescent="0.25">
      <c r="R60">
        <f>SUMPRODUCT($H$2:$H$31,$E$2:$E$31)</f>
        <v>1</v>
      </c>
      <c r="S60" t="s">
        <v>49</v>
      </c>
      <c r="T60">
        <v>1</v>
      </c>
    </row>
    <row r="61" spans="17:21" x14ac:dyDescent="0.25">
      <c r="R61">
        <f>SUMPRODUCT($H$2:$H$31,$F$2:$F$31)</f>
        <v>1</v>
      </c>
      <c r="S61" t="s">
        <v>49</v>
      </c>
      <c r="T61">
        <v>1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20" workbookViewId="0">
      <selection activeCell="G2" sqref="G2:G31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83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93</v>
      </c>
      <c r="H3" s="7">
        <v>0</v>
      </c>
      <c r="I3" s="7">
        <v>1</v>
      </c>
      <c r="J3" s="9">
        <f t="shared" si="0"/>
        <v>1</v>
      </c>
      <c r="K3" s="9">
        <f t="shared" si="1"/>
        <v>1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93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88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79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96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1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96</v>
      </c>
      <c r="R6" s="17">
        <f t="shared" si="5"/>
        <v>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94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94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109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1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109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90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117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1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117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52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0</v>
      </c>
      <c r="I12" s="7">
        <v>1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0</v>
      </c>
      <c r="T12" s="15">
        <f t="shared" si="7"/>
        <v>93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66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100</v>
      </c>
      <c r="H14" s="7">
        <v>0</v>
      </c>
      <c r="I14" s="7">
        <v>1</v>
      </c>
      <c r="J14" s="9">
        <f t="shared" si="0"/>
        <v>1</v>
      </c>
      <c r="K14" s="9">
        <f t="shared" si="1"/>
        <v>1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100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88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101</v>
      </c>
      <c r="H16" s="7">
        <v>1</v>
      </c>
      <c r="I16" s="7">
        <v>0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1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101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84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107</v>
      </c>
      <c r="H18" s="7">
        <v>0</v>
      </c>
      <c r="I18" s="7">
        <v>1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107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112</v>
      </c>
      <c r="H19" s="7">
        <v>1</v>
      </c>
      <c r="I19" s="7">
        <v>0</v>
      </c>
      <c r="J19" s="9">
        <f t="shared" si="0"/>
        <v>1</v>
      </c>
      <c r="K19" s="9">
        <f t="shared" si="1"/>
        <v>0</v>
      </c>
      <c r="L19" s="9">
        <f t="shared" si="9"/>
        <v>1</v>
      </c>
      <c r="M19" s="9">
        <f t="shared" si="10"/>
        <v>0</v>
      </c>
      <c r="N19" s="9">
        <f t="shared" si="2"/>
        <v>0</v>
      </c>
      <c r="O19" s="9">
        <f t="shared" si="3"/>
        <v>1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112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91</v>
      </c>
      <c r="H20" s="7">
        <v>0</v>
      </c>
      <c r="I20" s="7">
        <v>1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91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98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98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88</v>
      </c>
      <c r="H22" s="7">
        <v>0</v>
      </c>
      <c r="I22" s="7">
        <v>0</v>
      </c>
      <c r="J22" s="9">
        <f t="shared" si="0"/>
        <v>0</v>
      </c>
      <c r="K22" s="9">
        <f t="shared" si="1"/>
        <v>0</v>
      </c>
      <c r="L22" s="9">
        <f t="shared" si="9"/>
        <v>0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0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111</v>
      </c>
      <c r="H23" s="7">
        <v>1</v>
      </c>
      <c r="I23" s="7">
        <v>0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1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111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84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116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116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89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67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100</v>
      </c>
      <c r="H29" s="7">
        <v>0</v>
      </c>
      <c r="I29" s="7">
        <v>1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100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111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111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83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8</v>
      </c>
      <c r="I33">
        <f>SUM(I2:I31)</f>
        <v>8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31.5" x14ac:dyDescent="0.25">
      <c r="Q41" s="1" t="s">
        <v>35</v>
      </c>
      <c r="R41">
        <f>SUMPRODUCT(G2:G31,H2:H31)</f>
        <v>873</v>
      </c>
    </row>
    <row r="42" spans="1:26" ht="31.5" x14ac:dyDescent="0.25">
      <c r="Q42" s="1" t="s">
        <v>34</v>
      </c>
      <c r="R42">
        <f>SUMPRODUCT(G2:G31,I2:I31)</f>
        <v>776</v>
      </c>
    </row>
    <row r="43" spans="1:26" x14ac:dyDescent="0.25">
      <c r="T43" t="s">
        <v>78</v>
      </c>
    </row>
    <row r="44" spans="1:26" ht="31.5" x14ac:dyDescent="0.25">
      <c r="Q44" s="1" t="s">
        <v>33</v>
      </c>
      <c r="R44">
        <f>2*R41+R42</f>
        <v>2522</v>
      </c>
      <c r="T44">
        <f>R41+R42</f>
        <v>1649</v>
      </c>
      <c r="X44" t="s">
        <v>77</v>
      </c>
    </row>
    <row r="46" spans="1:26" ht="31.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2</v>
      </c>
      <c r="S52" t="s">
        <v>48</v>
      </c>
      <c r="T52">
        <f>SUM(N2:N31)</f>
        <v>2</v>
      </c>
    </row>
    <row r="53" spans="17:21" x14ac:dyDescent="0.25">
      <c r="Q53" t="s">
        <v>55</v>
      </c>
      <c r="R53">
        <f>SUM(O2:O31)</f>
        <v>2</v>
      </c>
      <c r="S53" t="s">
        <v>48</v>
      </c>
      <c r="T53">
        <f>SUM(P2:P31)</f>
        <v>2</v>
      </c>
    </row>
    <row r="55" spans="17:21" x14ac:dyDescent="0.25">
      <c r="Q55" t="s">
        <v>57</v>
      </c>
      <c r="R55">
        <f>R52</f>
        <v>2</v>
      </c>
      <c r="S55" t="s">
        <v>56</v>
      </c>
      <c r="T55">
        <f>R53</f>
        <v>2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2</v>
      </c>
      <c r="S58" t="s">
        <v>49</v>
      </c>
      <c r="T58">
        <v>2</v>
      </c>
      <c r="U58" t="s">
        <v>76</v>
      </c>
    </row>
    <row r="59" spans="17:21" x14ac:dyDescent="0.25">
      <c r="R59">
        <f>SUMPRODUCT($H$2:$H$31,$D$2:$D$31)</f>
        <v>2</v>
      </c>
      <c r="S59" t="s">
        <v>49</v>
      </c>
      <c r="T59">
        <v>2</v>
      </c>
    </row>
    <row r="60" spans="17:21" x14ac:dyDescent="0.25">
      <c r="R60">
        <f>SUMPRODUCT($H$2:$H$31,$E$2:$E$31)</f>
        <v>2</v>
      </c>
      <c r="S60" t="s">
        <v>49</v>
      </c>
      <c r="T60">
        <v>2</v>
      </c>
    </row>
    <row r="61" spans="17:21" x14ac:dyDescent="0.25">
      <c r="R61">
        <f>SUMPRODUCT($H$2:$H$31,$F$2:$F$31)</f>
        <v>2</v>
      </c>
      <c r="S61" t="s">
        <v>49</v>
      </c>
      <c r="T61">
        <v>2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abSelected="1" topLeftCell="X1" workbookViewId="0">
      <selection activeCell="I20" sqref="I20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17" max="17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113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128</v>
      </c>
      <c r="H3" s="7">
        <v>0</v>
      </c>
      <c r="I3" s="7">
        <v>1</v>
      </c>
      <c r="J3" s="9">
        <f t="shared" si="0"/>
        <v>1</v>
      </c>
      <c r="K3" s="9">
        <f t="shared" si="1"/>
        <v>1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128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114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/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135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1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135</v>
      </c>
      <c r="R6" s="17">
        <f t="shared" si="5"/>
        <v>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129</v>
      </c>
      <c r="H7" s="7">
        <v>1</v>
      </c>
      <c r="I7" s="7">
        <v>0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1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129</v>
      </c>
      <c r="R7" s="17">
        <f t="shared" si="5"/>
        <v>0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149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1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149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114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164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1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164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/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123</v>
      </c>
      <c r="H12" s="7">
        <v>0</v>
      </c>
      <c r="I12" s="7">
        <v>1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0</v>
      </c>
      <c r="T12" s="15">
        <f t="shared" si="7"/>
        <v>123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/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133</v>
      </c>
      <c r="H14" s="7">
        <v>1</v>
      </c>
      <c r="I14" s="7">
        <v>0</v>
      </c>
      <c r="J14" s="9">
        <f t="shared" si="0"/>
        <v>1</v>
      </c>
      <c r="K14" s="9">
        <f t="shared" si="1"/>
        <v>1</v>
      </c>
      <c r="L14" s="9">
        <f t="shared" si="9"/>
        <v>0</v>
      </c>
      <c r="M14" s="9">
        <f t="shared" si="10"/>
        <v>0</v>
      </c>
      <c r="N14" s="9">
        <f t="shared" si="2"/>
        <v>1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133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115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133</v>
      </c>
      <c r="H16" s="7">
        <v>1</v>
      </c>
      <c r="I16" s="7">
        <v>0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1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133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108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146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1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146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149</v>
      </c>
      <c r="H19" s="7">
        <v>1</v>
      </c>
      <c r="I19" s="7">
        <v>0</v>
      </c>
      <c r="J19" s="9">
        <f t="shared" si="0"/>
        <v>1</v>
      </c>
      <c r="K19" s="9">
        <f t="shared" si="1"/>
        <v>0</v>
      </c>
      <c r="L19" s="9">
        <f t="shared" si="9"/>
        <v>1</v>
      </c>
      <c r="M19" s="9">
        <f t="shared" si="10"/>
        <v>0</v>
      </c>
      <c r="N19" s="9">
        <f t="shared" si="2"/>
        <v>0</v>
      </c>
      <c r="O19" s="9">
        <f t="shared" si="3"/>
        <v>1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149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125</v>
      </c>
      <c r="H20" s="7">
        <v>0</v>
      </c>
      <c r="I20" s="7">
        <v>1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125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130</v>
      </c>
      <c r="H21" s="7">
        <v>0</v>
      </c>
      <c r="I21" s="7">
        <v>1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130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121</v>
      </c>
      <c r="H22" s="7">
        <v>0</v>
      </c>
      <c r="I22" s="7">
        <v>0</v>
      </c>
      <c r="J22" s="9">
        <f t="shared" si="0"/>
        <v>0</v>
      </c>
      <c r="K22" s="9">
        <f t="shared" si="1"/>
        <v>0</v>
      </c>
      <c r="L22" s="9">
        <f t="shared" si="9"/>
        <v>0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0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151</v>
      </c>
      <c r="H23" s="7">
        <v>1</v>
      </c>
      <c r="I23" s="7">
        <v>0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1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151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108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160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160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117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/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/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134</v>
      </c>
      <c r="H29" s="7">
        <v>1</v>
      </c>
      <c r="I29" s="7">
        <v>0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1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134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148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148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108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12</v>
      </c>
      <c r="I33">
        <f>SUM(I2:I31)</f>
        <v>4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15.75" x14ac:dyDescent="0.25">
      <c r="Q41" s="1" t="s">
        <v>35</v>
      </c>
      <c r="R41">
        <f>SUMPRODUCT(G2:G31,H2:H31)</f>
        <v>1731</v>
      </c>
    </row>
    <row r="42" spans="1:26" ht="15.75" x14ac:dyDescent="0.25">
      <c r="Q42" s="1" t="s">
        <v>34</v>
      </c>
      <c r="R42">
        <f>SUMPRODUCT(G2:G31,I2:I31)</f>
        <v>506</v>
      </c>
    </row>
    <row r="43" spans="1:26" x14ac:dyDescent="0.25">
      <c r="T43" t="s">
        <v>78</v>
      </c>
    </row>
    <row r="44" spans="1:26" ht="15.75" x14ac:dyDescent="0.25">
      <c r="Q44" s="1" t="s">
        <v>33</v>
      </c>
      <c r="R44">
        <f>2*R41+R42</f>
        <v>3968</v>
      </c>
      <c r="T44">
        <f>R41+R42</f>
        <v>2237</v>
      </c>
      <c r="X44" t="s">
        <v>77</v>
      </c>
    </row>
    <row r="46" spans="1:26" ht="15.7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3</v>
      </c>
      <c r="S52" t="s">
        <v>48</v>
      </c>
      <c r="T52">
        <f>SUM(N2:N31)</f>
        <v>3</v>
      </c>
    </row>
    <row r="53" spans="17:21" x14ac:dyDescent="0.25">
      <c r="Q53" t="s">
        <v>55</v>
      </c>
      <c r="R53">
        <f>SUM(O2:O31)</f>
        <v>3</v>
      </c>
      <c r="S53" t="s">
        <v>48</v>
      </c>
      <c r="T53">
        <f>SUM(P2:P31)</f>
        <v>3</v>
      </c>
    </row>
    <row r="55" spans="17:21" x14ac:dyDescent="0.25">
      <c r="Q55" t="s">
        <v>57</v>
      </c>
      <c r="R55">
        <f>R52</f>
        <v>3</v>
      </c>
      <c r="S55" t="s">
        <v>56</v>
      </c>
      <c r="T55">
        <f>R53</f>
        <v>3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3</v>
      </c>
      <c r="S58" t="s">
        <v>49</v>
      </c>
      <c r="T58">
        <v>3</v>
      </c>
      <c r="U58" t="s">
        <v>76</v>
      </c>
    </row>
    <row r="59" spans="17:21" x14ac:dyDescent="0.25">
      <c r="R59">
        <f>SUMPRODUCT($H$2:$H$31,$D$2:$D$31)</f>
        <v>3</v>
      </c>
      <c r="S59" t="s">
        <v>49</v>
      </c>
      <c r="T59">
        <v>3</v>
      </c>
    </row>
    <row r="60" spans="17:21" x14ac:dyDescent="0.25">
      <c r="R60">
        <f>SUMPRODUCT($H$2:$H$31,$E$2:$E$31)</f>
        <v>3</v>
      </c>
      <c r="S60" t="s">
        <v>49</v>
      </c>
      <c r="T60">
        <v>3</v>
      </c>
    </row>
    <row r="61" spans="17:21" x14ac:dyDescent="0.25">
      <c r="R61">
        <f>SUMPRODUCT($H$2:$H$31,$F$2:$F$31)</f>
        <v>3</v>
      </c>
      <c r="S61" t="s">
        <v>49</v>
      </c>
      <c r="T61">
        <v>3</v>
      </c>
    </row>
  </sheetData>
  <autoFilter ref="A1:X31">
    <sortState ref="A2:X31">
      <sortCondition ref="B1:B31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20" workbookViewId="0">
      <selection activeCell="G2" sqref="G2:G31"/>
    </sheetView>
  </sheetViews>
  <sheetFormatPr defaultRowHeight="15" x14ac:dyDescent="0.25"/>
  <cols>
    <col min="1" max="1" width="21" bestFit="1" customWidth="1"/>
    <col min="2" max="6" width="0" hidden="1" customWidth="1"/>
    <col min="10" max="16" width="0" hidden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83</v>
      </c>
      <c r="H2" s="7">
        <v>0</v>
      </c>
      <c r="I2" s="7">
        <v>0</v>
      </c>
      <c r="J2" s="9">
        <f t="shared" ref="J2:J31" si="0">H2+I2</f>
        <v>0</v>
      </c>
      <c r="K2" s="9">
        <f t="shared" ref="K2:K31" si="1">(C2+D2)*(H2+I2)</f>
        <v>0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93</v>
      </c>
      <c r="H3" s="7">
        <v>1</v>
      </c>
      <c r="I3" s="7">
        <v>0</v>
      </c>
      <c r="J3" s="9">
        <f t="shared" si="0"/>
        <v>1</v>
      </c>
      <c r="K3" s="9">
        <f t="shared" si="1"/>
        <v>1</v>
      </c>
      <c r="L3" s="9">
        <f t="shared" ref="L3:L31" si="9">(E3+F3)*(H3+I3)</f>
        <v>0</v>
      </c>
      <c r="M3" s="9">
        <f t="shared" ref="M3:M31" si="10">C3*H3</f>
        <v>1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93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88</v>
      </c>
      <c r="H4" s="7">
        <v>0</v>
      </c>
      <c r="I4" s="7">
        <v>0</v>
      </c>
      <c r="J4" s="9">
        <f t="shared" si="0"/>
        <v>0</v>
      </c>
      <c r="K4" s="9">
        <f t="shared" si="1"/>
        <v>0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79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96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1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96</v>
      </c>
      <c r="R6" s="17">
        <f t="shared" si="5"/>
        <v>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94</v>
      </c>
      <c r="H7" s="7">
        <v>1</v>
      </c>
      <c r="I7" s="7">
        <v>0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1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94</v>
      </c>
      <c r="R7" s="17">
        <f t="shared" si="5"/>
        <v>0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109</v>
      </c>
      <c r="H8" s="7">
        <v>1</v>
      </c>
      <c r="I8" s="7">
        <v>0</v>
      </c>
      <c r="J8" s="9">
        <f t="shared" si="0"/>
        <v>1</v>
      </c>
      <c r="K8" s="9">
        <f t="shared" si="1"/>
        <v>1</v>
      </c>
      <c r="L8" s="9">
        <f t="shared" si="9"/>
        <v>0</v>
      </c>
      <c r="M8" s="9">
        <f t="shared" si="10"/>
        <v>1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109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90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117</v>
      </c>
      <c r="H10" s="7">
        <v>1</v>
      </c>
      <c r="I10" s="7">
        <v>0</v>
      </c>
      <c r="J10" s="9">
        <f t="shared" si="0"/>
        <v>1</v>
      </c>
      <c r="K10" s="9">
        <f t="shared" si="1"/>
        <v>1</v>
      </c>
      <c r="L10" s="9">
        <f t="shared" si="9"/>
        <v>0</v>
      </c>
      <c r="M10" s="9">
        <f t="shared" si="10"/>
        <v>0</v>
      </c>
      <c r="N10" s="9">
        <f t="shared" si="2"/>
        <v>1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117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52</v>
      </c>
      <c r="H11" s="7">
        <v>0</v>
      </c>
      <c r="I11" s="7">
        <v>0</v>
      </c>
      <c r="J11" s="9">
        <f t="shared" si="0"/>
        <v>0</v>
      </c>
      <c r="K11" s="9">
        <f t="shared" si="1"/>
        <v>0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93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93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66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100</v>
      </c>
      <c r="H14" s="7">
        <v>1</v>
      </c>
      <c r="I14" s="7">
        <v>0</v>
      </c>
      <c r="J14" s="9">
        <f t="shared" si="0"/>
        <v>1</v>
      </c>
      <c r="K14" s="9">
        <f t="shared" si="1"/>
        <v>1</v>
      </c>
      <c r="L14" s="9">
        <f t="shared" si="9"/>
        <v>0</v>
      </c>
      <c r="M14" s="9">
        <f t="shared" si="10"/>
        <v>0</v>
      </c>
      <c r="N14" s="9">
        <f t="shared" si="2"/>
        <v>1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100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88</v>
      </c>
      <c r="H15" s="7">
        <v>0</v>
      </c>
      <c r="I15" s="7">
        <v>0</v>
      </c>
      <c r="J15" s="9">
        <f t="shared" si="0"/>
        <v>0</v>
      </c>
      <c r="K15" s="9">
        <f t="shared" si="1"/>
        <v>0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101</v>
      </c>
      <c r="H16" s="7">
        <v>1</v>
      </c>
      <c r="I16" s="7">
        <v>0</v>
      </c>
      <c r="J16" s="9">
        <f t="shared" si="0"/>
        <v>1</v>
      </c>
      <c r="K16" s="9">
        <f t="shared" si="1"/>
        <v>1</v>
      </c>
      <c r="L16" s="9">
        <f t="shared" si="9"/>
        <v>0</v>
      </c>
      <c r="M16" s="9">
        <f t="shared" si="10"/>
        <v>0</v>
      </c>
      <c r="N16" s="9">
        <f t="shared" si="2"/>
        <v>1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101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84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107</v>
      </c>
      <c r="H18" s="7">
        <v>1</v>
      </c>
      <c r="I18" s="7">
        <v>0</v>
      </c>
      <c r="J18" s="9">
        <f t="shared" si="0"/>
        <v>1</v>
      </c>
      <c r="K18" s="9">
        <f t="shared" si="1"/>
        <v>0</v>
      </c>
      <c r="L18" s="9">
        <f t="shared" si="9"/>
        <v>1</v>
      </c>
      <c r="M18" s="9">
        <f t="shared" si="10"/>
        <v>0</v>
      </c>
      <c r="N18" s="9">
        <f t="shared" si="2"/>
        <v>0</v>
      </c>
      <c r="O18" s="9">
        <f t="shared" si="3"/>
        <v>1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107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112</v>
      </c>
      <c r="H19" s="7">
        <v>1</v>
      </c>
      <c r="I19" s="7">
        <v>0</v>
      </c>
      <c r="J19" s="9">
        <f t="shared" si="0"/>
        <v>1</v>
      </c>
      <c r="K19" s="9">
        <f t="shared" si="1"/>
        <v>0</v>
      </c>
      <c r="L19" s="9">
        <f t="shared" si="9"/>
        <v>1</v>
      </c>
      <c r="M19" s="9">
        <f t="shared" si="10"/>
        <v>0</v>
      </c>
      <c r="N19" s="9">
        <f t="shared" si="2"/>
        <v>0</v>
      </c>
      <c r="O19" s="9">
        <f t="shared" si="3"/>
        <v>1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112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91</v>
      </c>
      <c r="H20" s="7">
        <v>0</v>
      </c>
      <c r="I20" s="7">
        <v>0</v>
      </c>
      <c r="J20" s="9">
        <f t="shared" si="0"/>
        <v>0</v>
      </c>
      <c r="K20" s="9">
        <f t="shared" si="1"/>
        <v>0</v>
      </c>
      <c r="L20" s="9">
        <f t="shared" si="9"/>
        <v>0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98</v>
      </c>
      <c r="H21" s="7">
        <v>1</v>
      </c>
      <c r="I21" s="7">
        <v>0</v>
      </c>
      <c r="J21" s="9">
        <f t="shared" si="0"/>
        <v>1</v>
      </c>
      <c r="K21" s="9">
        <f t="shared" si="1"/>
        <v>0</v>
      </c>
      <c r="L21" s="9">
        <f t="shared" si="9"/>
        <v>1</v>
      </c>
      <c r="M21" s="9">
        <f t="shared" si="10"/>
        <v>0</v>
      </c>
      <c r="N21" s="9">
        <f t="shared" si="2"/>
        <v>0</v>
      </c>
      <c r="O21" s="9">
        <f t="shared" si="3"/>
        <v>1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98</v>
      </c>
      <c r="V21" s="16">
        <f t="shared" si="13"/>
        <v>0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88</v>
      </c>
      <c r="H22" s="7">
        <v>0</v>
      </c>
      <c r="I22" s="7">
        <v>0</v>
      </c>
      <c r="J22" s="9">
        <f t="shared" si="0"/>
        <v>0</v>
      </c>
      <c r="K22" s="9">
        <f t="shared" si="1"/>
        <v>0</v>
      </c>
      <c r="L22" s="9">
        <f t="shared" si="9"/>
        <v>0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0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111</v>
      </c>
      <c r="H23" s="7">
        <v>1</v>
      </c>
      <c r="I23" s="7">
        <v>0</v>
      </c>
      <c r="J23" s="9">
        <f t="shared" si="0"/>
        <v>1</v>
      </c>
      <c r="K23" s="9">
        <f t="shared" si="1"/>
        <v>0</v>
      </c>
      <c r="L23" s="9">
        <f t="shared" si="9"/>
        <v>1</v>
      </c>
      <c r="M23" s="9">
        <f t="shared" si="10"/>
        <v>0</v>
      </c>
      <c r="N23" s="9">
        <f t="shared" si="2"/>
        <v>0</v>
      </c>
      <c r="O23" s="9">
        <f t="shared" si="3"/>
        <v>1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111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84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116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116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89</v>
      </c>
      <c r="H26" s="7">
        <v>1</v>
      </c>
      <c r="I26" s="7">
        <v>0</v>
      </c>
      <c r="J26" s="9">
        <f t="shared" si="0"/>
        <v>1</v>
      </c>
      <c r="K26" s="9">
        <f t="shared" si="1"/>
        <v>0</v>
      </c>
      <c r="L26" s="9">
        <f t="shared" si="9"/>
        <v>1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1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89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77</v>
      </c>
      <c r="H27" s="7">
        <v>0</v>
      </c>
      <c r="I27" s="7">
        <v>0</v>
      </c>
      <c r="J27" s="9">
        <f t="shared" si="0"/>
        <v>0</v>
      </c>
      <c r="K27" s="9">
        <f t="shared" si="1"/>
        <v>0</v>
      </c>
      <c r="L27" s="9">
        <f t="shared" si="9"/>
        <v>0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67</v>
      </c>
      <c r="H28" s="7">
        <v>0</v>
      </c>
      <c r="I28" s="7">
        <v>0</v>
      </c>
      <c r="J28" s="9">
        <f t="shared" si="0"/>
        <v>0</v>
      </c>
      <c r="K28" s="9">
        <f t="shared" si="1"/>
        <v>0</v>
      </c>
      <c r="L28" s="9">
        <f t="shared" si="9"/>
        <v>0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100</v>
      </c>
      <c r="H29" s="7">
        <v>1</v>
      </c>
      <c r="I29" s="7">
        <v>0</v>
      </c>
      <c r="J29" s="9">
        <f t="shared" si="0"/>
        <v>1</v>
      </c>
      <c r="K29" s="9">
        <f t="shared" si="1"/>
        <v>0</v>
      </c>
      <c r="L29" s="9">
        <f t="shared" si="9"/>
        <v>1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1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100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111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111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83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16</v>
      </c>
      <c r="I33">
        <f>SUM(I2:I31)</f>
        <v>0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" t="s">
        <v>36</v>
      </c>
      <c r="R40" s="2"/>
      <c r="S40" s="2"/>
      <c r="T40" s="2"/>
      <c r="U40" s="2"/>
      <c r="V40" s="1"/>
    </row>
    <row r="41" spans="1:26" ht="31.5" x14ac:dyDescent="0.25">
      <c r="Q41" s="1" t="s">
        <v>35</v>
      </c>
      <c r="R41">
        <f>SUMPRODUCT(G2:G31,H2:H31)</f>
        <v>1647</v>
      </c>
    </row>
    <row r="42" spans="1:26" ht="31.5" x14ac:dyDescent="0.25">
      <c r="Q42" s="1" t="s">
        <v>34</v>
      </c>
      <c r="R42">
        <f>SUMPRODUCT(G2:G31,I2:I31)</f>
        <v>0</v>
      </c>
    </row>
    <row r="43" spans="1:26" x14ac:dyDescent="0.25">
      <c r="T43" t="s">
        <v>78</v>
      </c>
    </row>
    <row r="44" spans="1:26" ht="31.5" x14ac:dyDescent="0.25">
      <c r="Q44" s="1" t="s">
        <v>33</v>
      </c>
      <c r="R44">
        <f>2*R41+R42</f>
        <v>3294</v>
      </c>
      <c r="T44">
        <f>R41+R42</f>
        <v>1647</v>
      </c>
      <c r="X44" t="s">
        <v>77</v>
      </c>
    </row>
    <row r="46" spans="1:26" ht="31.5" x14ac:dyDescent="0.25">
      <c r="Q46" s="1" t="s">
        <v>47</v>
      </c>
    </row>
    <row r="47" spans="1:26" x14ac:dyDescent="0.25">
      <c r="R47">
        <f>SUM(H2:H31) +SUM(I2:I31)</f>
        <v>16</v>
      </c>
      <c r="S47" t="s">
        <v>48</v>
      </c>
      <c r="T47">
        <v>16</v>
      </c>
    </row>
    <row r="48" spans="1:26" x14ac:dyDescent="0.25">
      <c r="S48" t="s">
        <v>49</v>
      </c>
      <c r="T48">
        <v>1</v>
      </c>
    </row>
    <row r="49" spans="17:21" x14ac:dyDescent="0.25">
      <c r="R49">
        <f>SUM(K2:K31)</f>
        <v>8</v>
      </c>
      <c r="S49" t="s">
        <v>49</v>
      </c>
      <c r="T49">
        <v>8</v>
      </c>
    </row>
    <row r="50" spans="17:21" x14ac:dyDescent="0.25">
      <c r="R50">
        <f>SUM(L2:L31)</f>
        <v>8</v>
      </c>
      <c r="S50" t="s">
        <v>49</v>
      </c>
      <c r="T50">
        <v>8</v>
      </c>
    </row>
    <row r="52" spans="17:21" x14ac:dyDescent="0.25">
      <c r="Q52" t="s">
        <v>54</v>
      </c>
      <c r="R52">
        <f>SUM(M2:M31)</f>
        <v>4</v>
      </c>
      <c r="S52" t="s">
        <v>48</v>
      </c>
      <c r="T52">
        <f>SUM(N2:N31)</f>
        <v>4</v>
      </c>
    </row>
    <row r="53" spans="17:21" x14ac:dyDescent="0.25">
      <c r="Q53" t="s">
        <v>55</v>
      </c>
      <c r="R53">
        <f>SUM(O2:O31)</f>
        <v>4</v>
      </c>
      <c r="S53" t="s">
        <v>48</v>
      </c>
      <c r="T53">
        <f>SUM(P2:P31)</f>
        <v>4</v>
      </c>
    </row>
    <row r="55" spans="17:21" x14ac:dyDescent="0.25">
      <c r="Q55" t="s">
        <v>57</v>
      </c>
      <c r="R55">
        <f>R52</f>
        <v>4</v>
      </c>
      <c r="S55" t="s">
        <v>56</v>
      </c>
      <c r="T55">
        <f>R53</f>
        <v>4</v>
      </c>
    </row>
    <row r="56" spans="17:21" x14ac:dyDescent="0.25">
      <c r="R56" t="s">
        <v>58</v>
      </c>
    </row>
    <row r="58" spans="17:21" x14ac:dyDescent="0.25">
      <c r="Q58" t="s">
        <v>75</v>
      </c>
      <c r="R58">
        <f>SUMPRODUCT($H$2:$H$31,$C$2:$C$31)</f>
        <v>4</v>
      </c>
      <c r="S58" t="s">
        <v>49</v>
      </c>
      <c r="T58">
        <v>4</v>
      </c>
      <c r="U58" t="s">
        <v>76</v>
      </c>
    </row>
    <row r="59" spans="17:21" x14ac:dyDescent="0.25">
      <c r="R59">
        <f>SUMPRODUCT($H$2:$H$31,$D$2:$D$31)</f>
        <v>4</v>
      </c>
      <c r="S59" t="s">
        <v>49</v>
      </c>
      <c r="T59">
        <v>4</v>
      </c>
    </row>
    <row r="60" spans="17:21" x14ac:dyDescent="0.25">
      <c r="R60">
        <f>SUMPRODUCT($H$2:$H$31,$E$2:$E$31)</f>
        <v>4</v>
      </c>
      <c r="S60" t="s">
        <v>49</v>
      </c>
      <c r="T60">
        <v>4</v>
      </c>
    </row>
    <row r="61" spans="17:21" x14ac:dyDescent="0.25">
      <c r="R61">
        <f>SUMPRODUCT($H$2:$H$31,$F$2:$F$31)</f>
        <v>4</v>
      </c>
      <c r="S61" t="s">
        <v>49</v>
      </c>
      <c r="T61">
        <v>4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14.0</vt:lpstr>
      <vt:lpstr>14.1</vt:lpstr>
      <vt:lpstr>14.2</vt:lpstr>
      <vt:lpstr>14.3 - model of cur system</vt:lpstr>
      <vt:lpstr>14.4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2016-04-11T19:23:58Z</dcterms:created>
  <dcterms:modified xsi:type="dcterms:W3CDTF">2016-05-10T04:26:30Z</dcterms:modified>
</cp:coreProperties>
</file>