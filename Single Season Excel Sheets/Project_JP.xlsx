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hearz\Desktop\OR Methods\Project\"/>
    </mc:Choice>
  </mc:AlternateContent>
  <bookViews>
    <workbookView xWindow="0" yWindow="0" windowWidth="24000" windowHeight="9735" firstSheet="1" activeTab="3"/>
  </bookViews>
  <sheets>
    <sheet name="06.0" sheetId="27" r:id="rId1"/>
    <sheet name="Summary" sheetId="14" r:id="rId2"/>
    <sheet name="06.1" sheetId="26" r:id="rId3"/>
    <sheet name="06.2" sheetId="24" r:id="rId4"/>
    <sheet name="06.3" sheetId="3" r:id="rId5"/>
    <sheet name="06.4" sheetId="25" r:id="rId6"/>
    <sheet name="07" sheetId="15" r:id="rId7"/>
    <sheet name="08" sheetId="16" r:id="rId8"/>
    <sheet name="09" sheetId="17" r:id="rId9"/>
    <sheet name="10" sheetId="18" r:id="rId10"/>
    <sheet name="11" sheetId="19" r:id="rId11"/>
    <sheet name="12" sheetId="20" r:id="rId12"/>
    <sheet name="14" sheetId="23" r:id="rId13"/>
    <sheet name="15" sheetId="22" r:id="rId14"/>
    <sheet name="16" sheetId="21" r:id="rId15"/>
  </sheets>
  <definedNames>
    <definedName name="_xlnm._FilterDatabase" localSheetId="0" hidden="1">'06.0'!$A$1:$X$31</definedName>
    <definedName name="_xlnm._FilterDatabase" localSheetId="2" hidden="1">'06.1'!$A$1:$X$31</definedName>
    <definedName name="_xlnm._FilterDatabase" localSheetId="3" hidden="1">'06.2'!$A$1:$X$31</definedName>
    <definedName name="_xlnm._FilterDatabase" localSheetId="4" hidden="1">'06.3'!$A$1:$X$31</definedName>
    <definedName name="_xlnm._FilterDatabase" localSheetId="5" hidden="1">'06.4'!$A$1:$X$31</definedName>
    <definedName name="_xlnm._FilterDatabase" localSheetId="6" hidden="1">'07'!$A$1:$X$31</definedName>
    <definedName name="_xlnm._FilterDatabase" localSheetId="7" hidden="1">'08'!$A$1:$X$31</definedName>
    <definedName name="_xlnm._FilterDatabase" localSheetId="8" hidden="1">'09'!$A$1:$X$31</definedName>
    <definedName name="_xlnm._FilterDatabase" localSheetId="9" hidden="1">'10'!$A$1:$X$31</definedName>
    <definedName name="_xlnm._FilterDatabase" localSheetId="10" hidden="1">'11'!$A$1:$X$31</definedName>
    <definedName name="_xlnm._FilterDatabase" localSheetId="11" hidden="1">'12'!$A$1:$X$31</definedName>
    <definedName name="_xlnm._FilterDatabase" localSheetId="12" hidden="1">'14'!$A$1:$X$31</definedName>
    <definedName name="_xlnm._FilterDatabase" localSheetId="13" hidden="1">'15'!$A$1:$X$31</definedName>
    <definedName name="_xlnm._FilterDatabase" localSheetId="14" hidden="1">'16'!$A$1:$X$31</definedName>
    <definedName name="solver_adj" localSheetId="0" hidden="1">'06.0'!$H$2:$H$31,'06.0'!$I$2:$I$31</definedName>
    <definedName name="solver_adj" localSheetId="2" hidden="1">'06.1'!$H$2:$H$31,'06.1'!$I$2:$I$31</definedName>
    <definedName name="solver_adj" localSheetId="3" hidden="1">'06.2'!$H$2:$H$31,'06.2'!$I$2:$I$31</definedName>
    <definedName name="solver_adj" localSheetId="4" hidden="1">'06.3'!$H$2:$H$31,'06.3'!$I$2:$I$31</definedName>
    <definedName name="solver_adj" localSheetId="5" hidden="1">'06.4'!$H$2:$H$31,'06.4'!$I$2:$I$31</definedName>
    <definedName name="solver_adj" localSheetId="6" hidden="1">'07'!$H$2:$H$31,'07'!$I$2:$I$31</definedName>
    <definedName name="solver_adj" localSheetId="7" hidden="1">'08'!$H$2:$H$31,'08'!$I$2:$I$31</definedName>
    <definedName name="solver_adj" localSheetId="8" hidden="1">'09'!$H$2:$H$31,'09'!$I$2:$I$31</definedName>
    <definedName name="solver_adj" localSheetId="9" hidden="1">'10'!$H$2:$H$31,'10'!$I$2:$I$31</definedName>
    <definedName name="solver_adj" localSheetId="10" hidden="1">'11'!$H$2:$H$31,'11'!$I$2:$I$31</definedName>
    <definedName name="solver_adj" localSheetId="11" hidden="1">'12'!$H$2:$H$31,'12'!$I$2:$I$31</definedName>
    <definedName name="solver_adj" localSheetId="12" hidden="1">'14'!$H$2:$H$31,'14'!$I$2:$I$31</definedName>
    <definedName name="solver_adj" localSheetId="13" hidden="1">'15'!$H$2:$H$31,'15'!$I$2:$I$31</definedName>
    <definedName name="solver_adj" localSheetId="14" hidden="1">'16'!$H$2:$H$31,'16'!$I$2:$I$31</definedName>
    <definedName name="solver_cvg" localSheetId="0" hidden="1">0.0001</definedName>
    <definedName name="solver_cvg" localSheetId="2" hidden="1">0.0001</definedName>
    <definedName name="solver_cvg" localSheetId="3" hidden="1">0.0001</definedName>
    <definedName name="solver_cvg" localSheetId="4" hidden="1">0.0001</definedName>
    <definedName name="solver_cvg" localSheetId="5" hidden="1">0.0001</definedName>
    <definedName name="solver_cvg" localSheetId="6" hidden="1">0.0001</definedName>
    <definedName name="solver_cvg" localSheetId="7" hidden="1">0.0001</definedName>
    <definedName name="solver_cvg" localSheetId="8" hidden="1">0.0001</definedName>
    <definedName name="solver_cvg" localSheetId="9" hidden="1">0.0001</definedName>
    <definedName name="solver_cvg" localSheetId="10" hidden="1">0.0001</definedName>
    <definedName name="solver_cvg" localSheetId="11" hidden="1">0.0001</definedName>
    <definedName name="solver_cvg" localSheetId="12" hidden="1">0.0001</definedName>
    <definedName name="solver_cvg" localSheetId="13" hidden="1">0.0001</definedName>
    <definedName name="solver_cvg" localSheetId="14" hidden="1">0.0001</definedName>
    <definedName name="solver_drv" localSheetId="0" hidden="1">1</definedName>
    <definedName name="solver_drv" localSheetId="2" hidden="1">1</definedName>
    <definedName name="solver_drv" localSheetId="3" hidden="1">1</definedName>
    <definedName name="solver_drv" localSheetId="4" hidden="1">1</definedName>
    <definedName name="solver_drv" localSheetId="5" hidden="1">1</definedName>
    <definedName name="solver_drv" localSheetId="6" hidden="1">1</definedName>
    <definedName name="solver_drv" localSheetId="7" hidden="1">1</definedName>
    <definedName name="solver_drv" localSheetId="8" hidden="1">1</definedName>
    <definedName name="solver_drv" localSheetId="9" hidden="1">1</definedName>
    <definedName name="solver_drv" localSheetId="10" hidden="1">1</definedName>
    <definedName name="solver_drv" localSheetId="11" hidden="1">1</definedName>
    <definedName name="solver_drv" localSheetId="12" hidden="1">1</definedName>
    <definedName name="solver_drv" localSheetId="13" hidden="1">1</definedName>
    <definedName name="solver_drv" localSheetId="14" hidden="1">1</definedName>
    <definedName name="solver_eng" localSheetId="0" hidden="1">2</definedName>
    <definedName name="solver_eng" localSheetId="2" hidden="1">2</definedName>
    <definedName name="solver_eng" localSheetId="3" hidden="1">2</definedName>
    <definedName name="solver_eng" localSheetId="4" hidden="1">2</definedName>
    <definedName name="solver_eng" localSheetId="5" hidden="1">2</definedName>
    <definedName name="solver_eng" localSheetId="6" hidden="1">2</definedName>
    <definedName name="solver_eng" localSheetId="7" hidden="1">2</definedName>
    <definedName name="solver_eng" localSheetId="8" hidden="1">2</definedName>
    <definedName name="solver_eng" localSheetId="9" hidden="1">2</definedName>
    <definedName name="solver_eng" localSheetId="10" hidden="1">2</definedName>
    <definedName name="solver_eng" localSheetId="11" hidden="1">2</definedName>
    <definedName name="solver_eng" localSheetId="12" hidden="1">2</definedName>
    <definedName name="solver_eng" localSheetId="13" hidden="1">2</definedName>
    <definedName name="solver_eng" localSheetId="14" hidden="1">2</definedName>
    <definedName name="solver_est" localSheetId="0" hidden="1">1</definedName>
    <definedName name="solver_est" localSheetId="2" hidden="1">1</definedName>
    <definedName name="solver_est" localSheetId="3" hidden="1">1</definedName>
    <definedName name="solver_est" localSheetId="4" hidden="1">1</definedName>
    <definedName name="solver_est" localSheetId="5" hidden="1">1</definedName>
    <definedName name="solver_est" localSheetId="6" hidden="1">1</definedName>
    <definedName name="solver_est" localSheetId="7" hidden="1">1</definedName>
    <definedName name="solver_est" localSheetId="8" hidden="1">1</definedName>
    <definedName name="solver_est" localSheetId="9" hidden="1">1</definedName>
    <definedName name="solver_est" localSheetId="10" hidden="1">1</definedName>
    <definedName name="solver_est" localSheetId="11" hidden="1">1</definedName>
    <definedName name="solver_est" localSheetId="12" hidden="1">1</definedName>
    <definedName name="solver_est" localSheetId="13" hidden="1">1</definedName>
    <definedName name="solver_est" localSheetId="14" hidden="1">1</definedName>
    <definedName name="solver_itr" localSheetId="0" hidden="1">2147483647</definedName>
    <definedName name="solver_itr" localSheetId="2" hidden="1">2147483647</definedName>
    <definedName name="solver_itr" localSheetId="3" hidden="1">2147483647</definedName>
    <definedName name="solver_itr" localSheetId="4" hidden="1">2147483647</definedName>
    <definedName name="solver_itr" localSheetId="5" hidden="1">2147483647</definedName>
    <definedName name="solver_itr" localSheetId="6" hidden="1">2147483647</definedName>
    <definedName name="solver_itr" localSheetId="7" hidden="1">2147483647</definedName>
    <definedName name="solver_itr" localSheetId="8" hidden="1">2147483647</definedName>
    <definedName name="solver_itr" localSheetId="9" hidden="1">2147483647</definedName>
    <definedName name="solver_itr" localSheetId="10" hidden="1">2147483647</definedName>
    <definedName name="solver_itr" localSheetId="11" hidden="1">2147483647</definedName>
    <definedName name="solver_itr" localSheetId="12" hidden="1">2147483647</definedName>
    <definedName name="solver_itr" localSheetId="13" hidden="1">2147483647</definedName>
    <definedName name="solver_itr" localSheetId="14" hidden="1">2147483647</definedName>
    <definedName name="solver_lhs1" localSheetId="0" hidden="1">'06.0'!$B$42</definedName>
    <definedName name="solver_lhs1" localSheetId="2" hidden="1">'06.1'!$B$42</definedName>
    <definedName name="solver_lhs1" localSheetId="3" hidden="1">'06.2'!$B$42</definedName>
    <definedName name="solver_lhs1" localSheetId="4" hidden="1">'06.3'!$B$42</definedName>
    <definedName name="solver_lhs1" localSheetId="5" hidden="1">'06.4'!$B$42</definedName>
    <definedName name="solver_lhs1" localSheetId="6" hidden="1">'07'!$B$42</definedName>
    <definedName name="solver_lhs1" localSheetId="7" hidden="1">'08'!$B$42</definedName>
    <definedName name="solver_lhs1" localSheetId="8" hidden="1">'09'!$B$42</definedName>
    <definedName name="solver_lhs1" localSheetId="9" hidden="1">'10'!$B$42</definedName>
    <definedName name="solver_lhs1" localSheetId="10" hidden="1">'11'!$B$42</definedName>
    <definedName name="solver_lhs1" localSheetId="11" hidden="1">'12'!$B$42</definedName>
    <definedName name="solver_lhs1" localSheetId="12" hidden="1">'14'!$B$42</definedName>
    <definedName name="solver_lhs1" localSheetId="13" hidden="1">'15'!$B$42</definedName>
    <definedName name="solver_lhs1" localSheetId="14" hidden="1">'16'!$B$42</definedName>
    <definedName name="solver_lhs10" localSheetId="0" hidden="1">'06.0'!$J$2:$J$31</definedName>
    <definedName name="solver_lhs10" localSheetId="2" hidden="1">'06.1'!$J$2:$J$31</definedName>
    <definedName name="solver_lhs10" localSheetId="3" hidden="1">'06.2'!$J$2:$J$31</definedName>
    <definedName name="solver_lhs10" localSheetId="4" hidden="1">'06.3'!$J$2:$J$31</definedName>
    <definedName name="solver_lhs10" localSheetId="5" hidden="1">'06.4'!$J$2:$J$31</definedName>
    <definedName name="solver_lhs10" localSheetId="6" hidden="1">'07'!$X$31</definedName>
    <definedName name="solver_lhs10" localSheetId="7" hidden="1">'08'!$W$25:$W$31</definedName>
    <definedName name="solver_lhs10" localSheetId="8" hidden="1">'09'!$W$25:$W$31</definedName>
    <definedName name="solver_lhs10" localSheetId="9" hidden="1">'10'!$W$25:$W$31</definedName>
    <definedName name="solver_lhs10" localSheetId="10" hidden="1">'11'!$W$25:$W$31</definedName>
    <definedName name="solver_lhs10" localSheetId="11" hidden="1">'12'!$W$25:$W$31</definedName>
    <definedName name="solver_lhs10" localSheetId="12" hidden="1">'14'!$W$25:$W$31</definedName>
    <definedName name="solver_lhs10" localSheetId="13" hidden="1">'15'!$W$25:$W$31</definedName>
    <definedName name="solver_lhs10" localSheetId="14" hidden="1">'16'!$W$25:$W$31</definedName>
    <definedName name="solver_lhs11" localSheetId="0" hidden="1">'06.0'!$W$25:$W$31</definedName>
    <definedName name="solver_lhs11" localSheetId="2" hidden="1">'06.1'!$W$25:$W$31</definedName>
    <definedName name="solver_lhs11" localSheetId="3" hidden="1">'06.2'!$W$25:$W$31</definedName>
    <definedName name="solver_lhs11" localSheetId="4" hidden="1">'06.3'!$W$25:$W$31</definedName>
    <definedName name="solver_lhs11" localSheetId="5" hidden="1">'06.4'!$W$25:$W$31</definedName>
    <definedName name="solver_lhs11" localSheetId="6" hidden="1">'07'!$X$31</definedName>
    <definedName name="solver_lhs11" localSheetId="7" hidden="1">'08'!$W$25:$W$31</definedName>
    <definedName name="solver_lhs11" localSheetId="8" hidden="1">'09'!$W$25:$W$31</definedName>
    <definedName name="solver_lhs11" localSheetId="9" hidden="1">'10'!$W$25:$W$31</definedName>
    <definedName name="solver_lhs11" localSheetId="10" hidden="1">'11'!$W$25:$W$31</definedName>
    <definedName name="solver_lhs11" localSheetId="11" hidden="1">'12'!$W$25:$W$31</definedName>
    <definedName name="solver_lhs11" localSheetId="12" hidden="1">'14'!$W$25:$W$31</definedName>
    <definedName name="solver_lhs11" localSheetId="13" hidden="1">'15'!$W$25:$W$31</definedName>
    <definedName name="solver_lhs11" localSheetId="14" hidden="1">'16'!$W$25:$W$31</definedName>
    <definedName name="solver_lhs12" localSheetId="0" hidden="1">'06.0'!$W$25:$W$31</definedName>
    <definedName name="solver_lhs12" localSheetId="2" hidden="1">'06.1'!$W$25:$W$31</definedName>
    <definedName name="solver_lhs12" localSheetId="3" hidden="1">'06.2'!$W$25:$W$31</definedName>
    <definedName name="solver_lhs12" localSheetId="4" hidden="1">'06.3'!$W$25:$W$31</definedName>
    <definedName name="solver_lhs12" localSheetId="5" hidden="1">'06.4'!$W$25:$W$31</definedName>
    <definedName name="solver_lhs12" localSheetId="6" hidden="1">'07'!$X$31</definedName>
    <definedName name="solver_lhs12" localSheetId="7" hidden="1">'08'!$W$25:$W$31</definedName>
    <definedName name="solver_lhs12" localSheetId="8" hidden="1">'09'!$W$25:$W$31</definedName>
    <definedName name="solver_lhs12" localSheetId="9" hidden="1">'10'!$W$25:$W$31</definedName>
    <definedName name="solver_lhs12" localSheetId="10" hidden="1">'11'!$W$25:$W$31</definedName>
    <definedName name="solver_lhs12" localSheetId="11" hidden="1">'12'!$W$25:$W$31</definedName>
    <definedName name="solver_lhs12" localSheetId="12" hidden="1">'14'!$W$25:$W$31</definedName>
    <definedName name="solver_lhs12" localSheetId="13" hidden="1">'15'!$W$25:$W$31</definedName>
    <definedName name="solver_lhs12" localSheetId="14" hidden="1">'16'!$W$25:$W$31</definedName>
    <definedName name="solver_lhs13" localSheetId="0" hidden="1">'06.0'!$W$25:$W$31</definedName>
    <definedName name="solver_lhs13" localSheetId="2" hidden="1">'06.1'!$W$25:$W$31</definedName>
    <definedName name="solver_lhs13" localSheetId="3" hidden="1">'06.2'!$W$25:$W$31</definedName>
    <definedName name="solver_lhs13" localSheetId="4" hidden="1">'06.3'!$W$25:$W$31</definedName>
    <definedName name="solver_lhs13" localSheetId="5" hidden="1">'06.4'!$W$25:$W$31</definedName>
    <definedName name="solver_lhs13" localSheetId="6" hidden="1">'07'!$X$31</definedName>
    <definedName name="solver_lhs13" localSheetId="7" hidden="1">'08'!$W$25:$W$31</definedName>
    <definedName name="solver_lhs13" localSheetId="8" hidden="1">'09'!$W$25:$W$31</definedName>
    <definedName name="solver_lhs13" localSheetId="9" hidden="1">'10'!$W$25:$W$31</definedName>
    <definedName name="solver_lhs13" localSheetId="10" hidden="1">'11'!$W$25:$W$31</definedName>
    <definedName name="solver_lhs13" localSheetId="11" hidden="1">'12'!$W$25:$W$31</definedName>
    <definedName name="solver_lhs13" localSheetId="12" hidden="1">'14'!$W$25:$W$31</definedName>
    <definedName name="solver_lhs13" localSheetId="13" hidden="1">'15'!$W$25:$W$31</definedName>
    <definedName name="solver_lhs13" localSheetId="14" hidden="1">'16'!$W$25:$W$31</definedName>
    <definedName name="solver_lhs14" localSheetId="6" hidden="1">'07'!$X$31</definedName>
    <definedName name="solver_lhs15" localSheetId="6" hidden="1">'07'!$X$31</definedName>
    <definedName name="solver_lhs16" localSheetId="6" hidden="1">'07'!$X$31</definedName>
    <definedName name="solver_lhs2" localSheetId="0" hidden="1">'06.0'!$B$44</definedName>
    <definedName name="solver_lhs2" localSheetId="2" hidden="1">'06.1'!$B$44</definedName>
    <definedName name="solver_lhs2" localSheetId="3" hidden="1">'06.2'!$B$44</definedName>
    <definedName name="solver_lhs2" localSheetId="4" hidden="1">'06.3'!$B$44</definedName>
    <definedName name="solver_lhs2" localSheetId="5" hidden="1">'06.4'!$B$44</definedName>
    <definedName name="solver_lhs2" localSheetId="6" hidden="1">'07'!$B$44</definedName>
    <definedName name="solver_lhs2" localSheetId="7" hidden="1">'08'!$B$44</definedName>
    <definedName name="solver_lhs2" localSheetId="8" hidden="1">'09'!$B$44</definedName>
    <definedName name="solver_lhs2" localSheetId="9" hidden="1">'10'!$B$44</definedName>
    <definedName name="solver_lhs2" localSheetId="10" hidden="1">'11'!$B$44</definedName>
    <definedName name="solver_lhs2" localSheetId="11" hidden="1">'12'!$B$44</definedName>
    <definedName name="solver_lhs2" localSheetId="12" hidden="1">'14'!$B$44</definedName>
    <definedName name="solver_lhs2" localSheetId="13" hidden="1">'15'!$B$44</definedName>
    <definedName name="solver_lhs2" localSheetId="14" hidden="1">'16'!$B$44</definedName>
    <definedName name="solver_lhs3" localSheetId="0" hidden="1">'06.0'!$B$45</definedName>
    <definedName name="solver_lhs3" localSheetId="2" hidden="1">'06.1'!$B$45</definedName>
    <definedName name="solver_lhs3" localSheetId="3" hidden="1">'06.2'!$B$45</definedName>
    <definedName name="solver_lhs3" localSheetId="4" hidden="1">'06.3'!$B$45</definedName>
    <definedName name="solver_lhs3" localSheetId="5" hidden="1">'06.4'!$B$45</definedName>
    <definedName name="solver_lhs3" localSheetId="6" hidden="1">'07'!$B$45</definedName>
    <definedName name="solver_lhs3" localSheetId="7" hidden="1">'08'!$B$45</definedName>
    <definedName name="solver_lhs3" localSheetId="8" hidden="1">'09'!$B$45</definedName>
    <definedName name="solver_lhs3" localSheetId="9" hidden="1">'10'!$B$45</definedName>
    <definedName name="solver_lhs3" localSheetId="10" hidden="1">'11'!$B$45</definedName>
    <definedName name="solver_lhs3" localSheetId="11" hidden="1">'12'!$B$45</definedName>
    <definedName name="solver_lhs3" localSheetId="12" hidden="1">'14'!$B$45</definedName>
    <definedName name="solver_lhs3" localSheetId="13" hidden="1">'15'!$B$45</definedName>
    <definedName name="solver_lhs3" localSheetId="14" hidden="1">'16'!$B$45</definedName>
    <definedName name="solver_lhs4" localSheetId="0" hidden="1">'06.0'!$B$47</definedName>
    <definedName name="solver_lhs4" localSheetId="2" hidden="1">'06.1'!$B$47</definedName>
    <definedName name="solver_lhs4" localSheetId="3" hidden="1">'06.2'!$B$47</definedName>
    <definedName name="solver_lhs4" localSheetId="4" hidden="1">'06.3'!$B$47</definedName>
    <definedName name="solver_lhs4" localSheetId="5" hidden="1">'06.4'!$B$47</definedName>
    <definedName name="solver_lhs4" localSheetId="6" hidden="1">'07'!$B$47</definedName>
    <definedName name="solver_lhs4" localSheetId="7" hidden="1">'08'!$B$47</definedName>
    <definedName name="solver_lhs4" localSheetId="8" hidden="1">'09'!$B$47</definedName>
    <definedName name="solver_lhs4" localSheetId="9" hidden="1">'10'!$B$47</definedName>
    <definedName name="solver_lhs4" localSheetId="10" hidden="1">'11'!$B$47</definedName>
    <definedName name="solver_lhs4" localSheetId="11" hidden="1">'12'!$B$47</definedName>
    <definedName name="solver_lhs4" localSheetId="12" hidden="1">'14'!$B$47</definedName>
    <definedName name="solver_lhs4" localSheetId="13" hidden="1">'15'!$B$47</definedName>
    <definedName name="solver_lhs4" localSheetId="14" hidden="1">'16'!$B$47</definedName>
    <definedName name="solver_lhs5" localSheetId="0" hidden="1">'06.0'!$B$48</definedName>
    <definedName name="solver_lhs5" localSheetId="2" hidden="1">'06.1'!$B$48</definedName>
    <definedName name="solver_lhs5" localSheetId="3" hidden="1">'06.2'!$B$48</definedName>
    <definedName name="solver_lhs5" localSheetId="4" hidden="1">'06.3'!$B$48</definedName>
    <definedName name="solver_lhs5" localSheetId="5" hidden="1">'06.4'!$B$48</definedName>
    <definedName name="solver_lhs5" localSheetId="6" hidden="1">'07'!$B$48</definedName>
    <definedName name="solver_lhs5" localSheetId="7" hidden="1">'08'!$B$48</definedName>
    <definedName name="solver_lhs5" localSheetId="8" hidden="1">'09'!$B$48</definedName>
    <definedName name="solver_lhs5" localSheetId="9" hidden="1">'10'!$B$48</definedName>
    <definedName name="solver_lhs5" localSheetId="10" hidden="1">'11'!$B$48</definedName>
    <definedName name="solver_lhs5" localSheetId="11" hidden="1">'12'!$B$48</definedName>
    <definedName name="solver_lhs5" localSheetId="12" hidden="1">'14'!$B$48</definedName>
    <definedName name="solver_lhs5" localSheetId="13" hidden="1">'15'!$B$48</definedName>
    <definedName name="solver_lhs5" localSheetId="14" hidden="1">'16'!$B$48</definedName>
    <definedName name="solver_lhs6" localSheetId="0" hidden="1">'06.0'!$B$50</definedName>
    <definedName name="solver_lhs6" localSheetId="2" hidden="1">'06.1'!$B$50</definedName>
    <definedName name="solver_lhs6" localSheetId="3" hidden="1">'06.2'!$B$50</definedName>
    <definedName name="solver_lhs6" localSheetId="4" hidden="1">'06.3'!$B$50</definedName>
    <definedName name="solver_lhs6" localSheetId="5" hidden="1">'06.4'!$B$50</definedName>
    <definedName name="solver_lhs6" localSheetId="6" hidden="1">'07'!$B$50</definedName>
    <definedName name="solver_lhs6" localSheetId="7" hidden="1">'08'!$B$50</definedName>
    <definedName name="solver_lhs6" localSheetId="8" hidden="1">'09'!$B$50</definedName>
    <definedName name="solver_lhs6" localSheetId="9" hidden="1">'10'!$B$50</definedName>
    <definedName name="solver_lhs6" localSheetId="10" hidden="1">'11'!$B$50</definedName>
    <definedName name="solver_lhs6" localSheetId="11" hidden="1">'12'!$B$50</definedName>
    <definedName name="solver_lhs6" localSheetId="12" hidden="1">'14'!$B$50</definedName>
    <definedName name="solver_lhs6" localSheetId="13" hidden="1">'15'!$B$50</definedName>
    <definedName name="solver_lhs6" localSheetId="14" hidden="1">'16'!$B$50</definedName>
    <definedName name="solver_lhs7" localSheetId="0" hidden="1">'06.0'!$B$53:$B$56</definedName>
    <definedName name="solver_lhs7" localSheetId="2" hidden="1">'06.1'!$B$53:$B$56</definedName>
    <definedName name="solver_lhs7" localSheetId="3" hidden="1">'06.2'!$B$53:$B$56</definedName>
    <definedName name="solver_lhs7" localSheetId="4" hidden="1">'06.3'!$B$53:$B$56</definedName>
    <definedName name="solver_lhs7" localSheetId="5" hidden="1">'06.4'!$B$53:$B$56</definedName>
    <definedName name="solver_lhs7" localSheetId="6" hidden="1">'07'!$H$2:$H$31</definedName>
    <definedName name="solver_lhs7" localSheetId="7" hidden="1">'08'!$H$2:$H$31</definedName>
    <definedName name="solver_lhs7" localSheetId="8" hidden="1">'09'!$H$2:$H$31</definedName>
    <definedName name="solver_lhs7" localSheetId="9" hidden="1">'10'!$H$2:$H$31</definedName>
    <definedName name="solver_lhs7" localSheetId="10" hidden="1">'11'!$H$2:$H$31</definedName>
    <definedName name="solver_lhs7" localSheetId="11" hidden="1">'12'!$H$2:$H$31</definedName>
    <definedName name="solver_lhs7" localSheetId="12" hidden="1">'14'!$H$2:$H$31</definedName>
    <definedName name="solver_lhs7" localSheetId="13" hidden="1">'15'!$H$2:$H$31</definedName>
    <definedName name="solver_lhs7" localSheetId="14" hidden="1">'16'!$H$2:$H$31</definedName>
    <definedName name="solver_lhs8" localSheetId="0" hidden="1">'06.0'!$H$2:$H$31</definedName>
    <definedName name="solver_lhs8" localSheetId="2" hidden="1">'06.1'!$H$2:$H$31</definedName>
    <definedName name="solver_lhs8" localSheetId="3" hidden="1">'06.2'!$H$2:$H$31</definedName>
    <definedName name="solver_lhs8" localSheetId="4" hidden="1">'06.3'!$H$2:$H$31</definedName>
    <definedName name="solver_lhs8" localSheetId="5" hidden="1">'06.4'!$H$2:$H$31</definedName>
    <definedName name="solver_lhs8" localSheetId="6" hidden="1">'07'!$I$2:$I$31</definedName>
    <definedName name="solver_lhs8" localSheetId="7" hidden="1">'08'!$I$2:$I$31</definedName>
    <definedName name="solver_lhs8" localSheetId="8" hidden="1">'09'!$I$2:$I$31</definedName>
    <definedName name="solver_lhs8" localSheetId="9" hidden="1">'10'!$I$2:$I$31</definedName>
    <definedName name="solver_lhs8" localSheetId="10" hidden="1">'11'!$I$2:$I$31</definedName>
    <definedName name="solver_lhs8" localSheetId="11" hidden="1">'12'!$I$2:$I$31</definedName>
    <definedName name="solver_lhs8" localSheetId="12" hidden="1">'14'!$I$2:$I$31</definedName>
    <definedName name="solver_lhs8" localSheetId="13" hidden="1">'15'!$I$2:$I$31</definedName>
    <definedName name="solver_lhs8" localSheetId="14" hidden="1">'16'!$I$2:$I$31</definedName>
    <definedName name="solver_lhs9" localSheetId="0" hidden="1">'06.0'!$I$2:$I$31</definedName>
    <definedName name="solver_lhs9" localSheetId="2" hidden="1">'06.1'!$I$2:$I$31</definedName>
    <definedName name="solver_lhs9" localSheetId="3" hidden="1">'06.2'!$I$2:$I$31</definedName>
    <definedName name="solver_lhs9" localSheetId="4" hidden="1">'06.3'!$I$2:$I$31</definedName>
    <definedName name="solver_lhs9" localSheetId="5" hidden="1">'06.4'!$I$2:$I$31</definedName>
    <definedName name="solver_lhs9" localSheetId="6" hidden="1">'07'!$J$2:$J$31</definedName>
    <definedName name="solver_lhs9" localSheetId="7" hidden="1">'08'!$J$2:$J$31</definedName>
    <definedName name="solver_lhs9" localSheetId="8" hidden="1">'09'!$J$2:$J$31</definedName>
    <definedName name="solver_lhs9" localSheetId="9" hidden="1">'10'!$J$2:$J$31</definedName>
    <definedName name="solver_lhs9" localSheetId="10" hidden="1">'11'!$J$2:$J$31</definedName>
    <definedName name="solver_lhs9" localSheetId="11" hidden="1">'12'!$J$2:$J$31</definedName>
    <definedName name="solver_lhs9" localSheetId="12" hidden="1">'14'!$J$2:$J$31</definedName>
    <definedName name="solver_lhs9" localSheetId="13" hidden="1">'15'!$J$2:$J$31</definedName>
    <definedName name="solver_lhs9" localSheetId="14" hidden="1">'16'!$J$2:$J$31</definedName>
    <definedName name="solver_mip" localSheetId="0" hidden="1">2147483647</definedName>
    <definedName name="solver_mip" localSheetId="2" hidden="1">2147483647</definedName>
    <definedName name="solver_mip" localSheetId="3" hidden="1">2147483647</definedName>
    <definedName name="solver_mip" localSheetId="4" hidden="1">2147483647</definedName>
    <definedName name="solver_mip" localSheetId="5" hidden="1">2147483647</definedName>
    <definedName name="solver_mip" localSheetId="6" hidden="1">2147483647</definedName>
    <definedName name="solver_mip" localSheetId="7" hidden="1">2147483647</definedName>
    <definedName name="solver_mip" localSheetId="8" hidden="1">2147483647</definedName>
    <definedName name="solver_mip" localSheetId="9" hidden="1">2147483647</definedName>
    <definedName name="solver_mip" localSheetId="10" hidden="1">2147483647</definedName>
    <definedName name="solver_mip" localSheetId="11" hidden="1">2147483647</definedName>
    <definedName name="solver_mip" localSheetId="12" hidden="1">2147483647</definedName>
    <definedName name="solver_mip" localSheetId="13" hidden="1">2147483647</definedName>
    <definedName name="solver_mip" localSheetId="14" hidden="1">2147483647</definedName>
    <definedName name="solver_mni" localSheetId="0" hidden="1">30</definedName>
    <definedName name="solver_mni" localSheetId="2" hidden="1">30</definedName>
    <definedName name="solver_mni" localSheetId="3" hidden="1">30</definedName>
    <definedName name="solver_mni" localSheetId="4" hidden="1">30</definedName>
    <definedName name="solver_mni" localSheetId="5" hidden="1">30</definedName>
    <definedName name="solver_mni" localSheetId="6" hidden="1">30</definedName>
    <definedName name="solver_mni" localSheetId="7" hidden="1">30</definedName>
    <definedName name="solver_mni" localSheetId="8" hidden="1">30</definedName>
    <definedName name="solver_mni" localSheetId="9" hidden="1">30</definedName>
    <definedName name="solver_mni" localSheetId="10" hidden="1">30</definedName>
    <definedName name="solver_mni" localSheetId="11" hidden="1">30</definedName>
    <definedName name="solver_mni" localSheetId="12" hidden="1">30</definedName>
    <definedName name="solver_mni" localSheetId="13" hidden="1">30</definedName>
    <definedName name="solver_mni" localSheetId="14" hidden="1">30</definedName>
    <definedName name="solver_mrt" localSheetId="0" hidden="1">0.075</definedName>
    <definedName name="solver_mrt" localSheetId="2" hidden="1">0.075</definedName>
    <definedName name="solver_mrt" localSheetId="3" hidden="1">0.075</definedName>
    <definedName name="solver_mrt" localSheetId="4" hidden="1">0.075</definedName>
    <definedName name="solver_mrt" localSheetId="5" hidden="1">0.075</definedName>
    <definedName name="solver_mrt" localSheetId="6" hidden="1">0.075</definedName>
    <definedName name="solver_mrt" localSheetId="7" hidden="1">0.075</definedName>
    <definedName name="solver_mrt" localSheetId="8" hidden="1">0.075</definedName>
    <definedName name="solver_mrt" localSheetId="9" hidden="1">0.075</definedName>
    <definedName name="solver_mrt" localSheetId="10" hidden="1">0.075</definedName>
    <definedName name="solver_mrt" localSheetId="11" hidden="1">0.075</definedName>
    <definedName name="solver_mrt" localSheetId="12" hidden="1">0.075</definedName>
    <definedName name="solver_mrt" localSheetId="13" hidden="1">0.075</definedName>
    <definedName name="solver_mrt" localSheetId="14" hidden="1">0.075</definedName>
    <definedName name="solver_msl" localSheetId="0" hidden="1">2</definedName>
    <definedName name="solver_msl" localSheetId="2" hidden="1">2</definedName>
    <definedName name="solver_msl" localSheetId="3" hidden="1">2</definedName>
    <definedName name="solver_msl" localSheetId="4" hidden="1">2</definedName>
    <definedName name="solver_msl" localSheetId="5" hidden="1">2</definedName>
    <definedName name="solver_msl" localSheetId="6" hidden="1">2</definedName>
    <definedName name="solver_msl" localSheetId="7" hidden="1">2</definedName>
    <definedName name="solver_msl" localSheetId="8" hidden="1">2</definedName>
    <definedName name="solver_msl" localSheetId="9" hidden="1">2</definedName>
    <definedName name="solver_msl" localSheetId="10" hidden="1">2</definedName>
    <definedName name="solver_msl" localSheetId="11" hidden="1">2</definedName>
    <definedName name="solver_msl" localSheetId="12" hidden="1">2</definedName>
    <definedName name="solver_msl" localSheetId="13" hidden="1">2</definedName>
    <definedName name="solver_msl" localSheetId="14" hidden="1">2</definedName>
    <definedName name="solver_neg" localSheetId="0" hidden="1">1</definedName>
    <definedName name="solver_neg" localSheetId="2" hidden="1">1</definedName>
    <definedName name="solver_neg" localSheetId="3" hidden="1">1</definedName>
    <definedName name="solver_neg" localSheetId="4" hidden="1">1</definedName>
    <definedName name="solver_neg" localSheetId="5" hidden="1">1</definedName>
    <definedName name="solver_neg" localSheetId="6" hidden="1">1</definedName>
    <definedName name="solver_neg" localSheetId="7" hidden="1">1</definedName>
    <definedName name="solver_neg" localSheetId="8" hidden="1">1</definedName>
    <definedName name="solver_neg" localSheetId="9" hidden="1">1</definedName>
    <definedName name="solver_neg" localSheetId="10" hidden="1">1</definedName>
    <definedName name="solver_neg" localSheetId="11" hidden="1">1</definedName>
    <definedName name="solver_neg" localSheetId="12" hidden="1">1</definedName>
    <definedName name="solver_neg" localSheetId="13" hidden="1">1</definedName>
    <definedName name="solver_neg" localSheetId="14" hidden="1">1</definedName>
    <definedName name="solver_nod" localSheetId="0" hidden="1">2147483647</definedName>
    <definedName name="solver_nod" localSheetId="2" hidden="1">2147483647</definedName>
    <definedName name="solver_nod" localSheetId="3" hidden="1">2147483647</definedName>
    <definedName name="solver_nod" localSheetId="4" hidden="1">2147483647</definedName>
    <definedName name="solver_nod" localSheetId="5" hidden="1">2147483647</definedName>
    <definedName name="solver_nod" localSheetId="6" hidden="1">2147483647</definedName>
    <definedName name="solver_nod" localSheetId="7" hidden="1">2147483647</definedName>
    <definedName name="solver_nod" localSheetId="8" hidden="1">2147483647</definedName>
    <definedName name="solver_nod" localSheetId="9" hidden="1">2147483647</definedName>
    <definedName name="solver_nod" localSheetId="10" hidden="1">2147483647</definedName>
    <definedName name="solver_nod" localSheetId="11" hidden="1">2147483647</definedName>
    <definedName name="solver_nod" localSheetId="12" hidden="1">2147483647</definedName>
    <definedName name="solver_nod" localSheetId="13" hidden="1">2147483647</definedName>
    <definedName name="solver_nod" localSheetId="14" hidden="1">2147483647</definedName>
    <definedName name="solver_num" localSheetId="0" hidden="1">10</definedName>
    <definedName name="solver_num" localSheetId="2" hidden="1">10</definedName>
    <definedName name="solver_num" localSheetId="3" hidden="1">10</definedName>
    <definedName name="solver_num" localSheetId="4" hidden="1">10</definedName>
    <definedName name="solver_num" localSheetId="5" hidden="1">10</definedName>
    <definedName name="solver_num" localSheetId="6" hidden="1">9</definedName>
    <definedName name="solver_num" localSheetId="7" hidden="1">9</definedName>
    <definedName name="solver_num" localSheetId="8" hidden="1">9</definedName>
    <definedName name="solver_num" localSheetId="9" hidden="1">9</definedName>
    <definedName name="solver_num" localSheetId="10" hidden="1">9</definedName>
    <definedName name="solver_num" localSheetId="11" hidden="1">9</definedName>
    <definedName name="solver_num" localSheetId="12" hidden="1">9</definedName>
    <definedName name="solver_num" localSheetId="13" hidden="1">9</definedName>
    <definedName name="solver_num" localSheetId="14" hidden="1">9</definedName>
    <definedName name="solver_nwt" localSheetId="0" hidden="1">1</definedName>
    <definedName name="solver_nwt" localSheetId="2" hidden="1">1</definedName>
    <definedName name="solver_nwt" localSheetId="3" hidden="1">1</definedName>
    <definedName name="solver_nwt" localSheetId="4" hidden="1">1</definedName>
    <definedName name="solver_nwt" localSheetId="5" hidden="1">1</definedName>
    <definedName name="solver_nwt" localSheetId="6" hidden="1">1</definedName>
    <definedName name="solver_nwt" localSheetId="7" hidden="1">1</definedName>
    <definedName name="solver_nwt" localSheetId="8" hidden="1">1</definedName>
    <definedName name="solver_nwt" localSheetId="9" hidden="1">1</definedName>
    <definedName name="solver_nwt" localSheetId="10" hidden="1">1</definedName>
    <definedName name="solver_nwt" localSheetId="11" hidden="1">1</definedName>
    <definedName name="solver_nwt" localSheetId="12" hidden="1">1</definedName>
    <definedName name="solver_nwt" localSheetId="13" hidden="1">1</definedName>
    <definedName name="solver_nwt" localSheetId="14" hidden="1">1</definedName>
    <definedName name="solver_opt" localSheetId="0" hidden="1">'06.0'!$B$39</definedName>
    <definedName name="solver_opt" localSheetId="2" hidden="1">'06.1'!$B$39</definedName>
    <definedName name="solver_opt" localSheetId="3" hidden="1">'06.2'!$B$39</definedName>
    <definedName name="solver_opt" localSheetId="4" hidden="1">'06.3'!$B$39</definedName>
    <definedName name="solver_opt" localSheetId="5" hidden="1">'06.4'!$B$39</definedName>
    <definedName name="solver_opt" localSheetId="6" hidden="1">'07'!$B$39</definedName>
    <definedName name="solver_opt" localSheetId="7" hidden="1">'08'!$B$39</definedName>
    <definedName name="solver_opt" localSheetId="8" hidden="1">'09'!$B$39</definedName>
    <definedName name="solver_opt" localSheetId="9" hidden="1">'10'!$B$39</definedName>
    <definedName name="solver_opt" localSheetId="10" hidden="1">'11'!$B$39</definedName>
    <definedName name="solver_opt" localSheetId="11" hidden="1">'12'!$B$39</definedName>
    <definedName name="solver_opt" localSheetId="12" hidden="1">'14'!$B$39</definedName>
    <definedName name="solver_opt" localSheetId="13" hidden="1">'15'!$B$39</definedName>
    <definedName name="solver_opt" localSheetId="14" hidden="1">'16'!$B$39</definedName>
    <definedName name="solver_pre" localSheetId="0" hidden="1">0.000001</definedName>
    <definedName name="solver_pre" localSheetId="2" hidden="1">0.000001</definedName>
    <definedName name="solver_pre" localSheetId="3" hidden="1">0.000001</definedName>
    <definedName name="solver_pre" localSheetId="4" hidden="1">0.000001</definedName>
    <definedName name="solver_pre" localSheetId="5" hidden="1">0.000001</definedName>
    <definedName name="solver_pre" localSheetId="6" hidden="1">0.000001</definedName>
    <definedName name="solver_pre" localSheetId="7" hidden="1">0.000001</definedName>
    <definedName name="solver_pre" localSheetId="8" hidden="1">0.000001</definedName>
    <definedName name="solver_pre" localSheetId="9" hidden="1">0.000001</definedName>
    <definedName name="solver_pre" localSheetId="10" hidden="1">0.000001</definedName>
    <definedName name="solver_pre" localSheetId="11" hidden="1">0.000001</definedName>
    <definedName name="solver_pre" localSheetId="12" hidden="1">0.000001</definedName>
    <definedName name="solver_pre" localSheetId="13" hidden="1">0.000001</definedName>
    <definedName name="solver_pre" localSheetId="14" hidden="1">0.000001</definedName>
    <definedName name="solver_rbv" localSheetId="0" hidden="1">1</definedName>
    <definedName name="solver_rbv" localSheetId="2" hidden="1">1</definedName>
    <definedName name="solver_rbv" localSheetId="3" hidden="1">1</definedName>
    <definedName name="solver_rbv" localSheetId="4" hidden="1">1</definedName>
    <definedName name="solver_rbv" localSheetId="5" hidden="1">1</definedName>
    <definedName name="solver_rbv" localSheetId="6" hidden="1">1</definedName>
    <definedName name="solver_rbv" localSheetId="7" hidden="1">1</definedName>
    <definedName name="solver_rbv" localSheetId="8" hidden="1">1</definedName>
    <definedName name="solver_rbv" localSheetId="9" hidden="1">1</definedName>
    <definedName name="solver_rbv" localSheetId="10" hidden="1">1</definedName>
    <definedName name="solver_rbv" localSheetId="11" hidden="1">1</definedName>
    <definedName name="solver_rbv" localSheetId="12" hidden="1">1</definedName>
    <definedName name="solver_rbv" localSheetId="13" hidden="1">1</definedName>
    <definedName name="solver_rbv" localSheetId="14" hidden="1">1</definedName>
    <definedName name="solver_rel1" localSheetId="0" hidden="1">2</definedName>
    <definedName name="solver_rel1" localSheetId="2" hidden="1">2</definedName>
    <definedName name="solver_rel1" localSheetId="3" hidden="1">2</definedName>
    <definedName name="solver_rel1" localSheetId="4" hidden="1">2</definedName>
    <definedName name="solver_rel1" localSheetId="5" hidden="1">2</definedName>
    <definedName name="solver_rel1" localSheetId="6" hidden="1">2</definedName>
    <definedName name="solver_rel1" localSheetId="7" hidden="1">2</definedName>
    <definedName name="solver_rel1" localSheetId="8" hidden="1">2</definedName>
    <definedName name="solver_rel1" localSheetId="9" hidden="1">2</definedName>
    <definedName name="solver_rel1" localSheetId="10" hidden="1">2</definedName>
    <definedName name="solver_rel1" localSheetId="11" hidden="1">2</definedName>
    <definedName name="solver_rel1" localSheetId="12" hidden="1">2</definedName>
    <definedName name="solver_rel1" localSheetId="13" hidden="1">2</definedName>
    <definedName name="solver_rel1" localSheetId="14" hidden="1">2</definedName>
    <definedName name="solver_rel10" localSheetId="0" hidden="1">1</definedName>
    <definedName name="solver_rel10" localSheetId="2" hidden="1">1</definedName>
    <definedName name="solver_rel10" localSheetId="3" hidden="1">1</definedName>
    <definedName name="solver_rel10" localSheetId="4" hidden="1">1</definedName>
    <definedName name="solver_rel10" localSheetId="5" hidden="1">1</definedName>
    <definedName name="solver_rel10" localSheetId="6" hidden="1">1</definedName>
    <definedName name="solver_rel10" localSheetId="7" hidden="1">3</definedName>
    <definedName name="solver_rel10" localSheetId="8" hidden="1">3</definedName>
    <definedName name="solver_rel10" localSheetId="9" hidden="1">3</definedName>
    <definedName name="solver_rel10" localSheetId="10" hidden="1">3</definedName>
    <definedName name="solver_rel10" localSheetId="11" hidden="1">3</definedName>
    <definedName name="solver_rel10" localSheetId="12" hidden="1">3</definedName>
    <definedName name="solver_rel10" localSheetId="13" hidden="1">3</definedName>
    <definedName name="solver_rel10" localSheetId="14" hidden="1">3</definedName>
    <definedName name="solver_rel11" localSheetId="0" hidden="1">3</definedName>
    <definedName name="solver_rel11" localSheetId="2" hidden="1">3</definedName>
    <definedName name="solver_rel11" localSheetId="3" hidden="1">3</definedName>
    <definedName name="solver_rel11" localSheetId="4" hidden="1">3</definedName>
    <definedName name="solver_rel11" localSheetId="5" hidden="1">3</definedName>
    <definedName name="solver_rel11" localSheetId="6" hidden="1">1</definedName>
    <definedName name="solver_rel11" localSheetId="7" hidden="1">3</definedName>
    <definedName name="solver_rel11" localSheetId="8" hidden="1">3</definedName>
    <definedName name="solver_rel11" localSheetId="9" hidden="1">3</definedName>
    <definedName name="solver_rel11" localSheetId="10" hidden="1">3</definedName>
    <definedName name="solver_rel11" localSheetId="11" hidden="1">3</definedName>
    <definedName name="solver_rel11" localSheetId="12" hidden="1">3</definedName>
    <definedName name="solver_rel11" localSheetId="13" hidden="1">3</definedName>
    <definedName name="solver_rel11" localSheetId="14" hidden="1">3</definedName>
    <definedName name="solver_rel12" localSheetId="0" hidden="1">3</definedName>
    <definedName name="solver_rel12" localSheetId="2" hidden="1">3</definedName>
    <definedName name="solver_rel12" localSheetId="3" hidden="1">3</definedName>
    <definedName name="solver_rel12" localSheetId="4" hidden="1">3</definedName>
    <definedName name="solver_rel12" localSheetId="5" hidden="1">3</definedName>
    <definedName name="solver_rel12" localSheetId="6" hidden="1">1</definedName>
    <definedName name="solver_rel12" localSheetId="7" hidden="1">3</definedName>
    <definedName name="solver_rel12" localSheetId="8" hidden="1">3</definedName>
    <definedName name="solver_rel12" localSheetId="9" hidden="1">3</definedName>
    <definedName name="solver_rel12" localSheetId="10" hidden="1">3</definedName>
    <definedName name="solver_rel12" localSheetId="11" hidden="1">3</definedName>
    <definedName name="solver_rel12" localSheetId="12" hidden="1">3</definedName>
    <definedName name="solver_rel12" localSheetId="13" hidden="1">3</definedName>
    <definedName name="solver_rel12" localSheetId="14" hidden="1">3</definedName>
    <definedName name="solver_rel13" localSheetId="0" hidden="1">3</definedName>
    <definedName name="solver_rel13" localSheetId="2" hidden="1">3</definedName>
    <definedName name="solver_rel13" localSheetId="3" hidden="1">3</definedName>
    <definedName name="solver_rel13" localSheetId="4" hidden="1">3</definedName>
    <definedName name="solver_rel13" localSheetId="5" hidden="1">3</definedName>
    <definedName name="solver_rel13" localSheetId="6" hidden="1">1</definedName>
    <definedName name="solver_rel13" localSheetId="7" hidden="1">3</definedName>
    <definedName name="solver_rel13" localSheetId="8" hidden="1">3</definedName>
    <definedName name="solver_rel13" localSheetId="9" hidden="1">3</definedName>
    <definedName name="solver_rel13" localSheetId="10" hidden="1">3</definedName>
    <definedName name="solver_rel13" localSheetId="11" hidden="1">3</definedName>
    <definedName name="solver_rel13" localSheetId="12" hidden="1">3</definedName>
    <definedName name="solver_rel13" localSheetId="13" hidden="1">3</definedName>
    <definedName name="solver_rel13" localSheetId="14" hidden="1">3</definedName>
    <definedName name="solver_rel14" localSheetId="6" hidden="1">1</definedName>
    <definedName name="solver_rel15" localSheetId="6" hidden="1">1</definedName>
    <definedName name="solver_rel16" localSheetId="6" hidden="1">1</definedName>
    <definedName name="solver_rel2" localSheetId="0" hidden="1">1</definedName>
    <definedName name="solver_rel2" localSheetId="2" hidden="1">1</definedName>
    <definedName name="solver_rel2" localSheetId="3" hidden="1">1</definedName>
    <definedName name="solver_rel2" localSheetId="4" hidden="1">1</definedName>
    <definedName name="solver_rel2" localSheetId="5" hidden="1">1</definedName>
    <definedName name="solver_rel2" localSheetId="6" hidden="1">1</definedName>
    <definedName name="solver_rel2" localSheetId="7" hidden="1">1</definedName>
    <definedName name="solver_rel2" localSheetId="8" hidden="1">1</definedName>
    <definedName name="solver_rel2" localSheetId="9" hidden="1">1</definedName>
    <definedName name="solver_rel2" localSheetId="10" hidden="1">1</definedName>
    <definedName name="solver_rel2" localSheetId="11" hidden="1">1</definedName>
    <definedName name="solver_rel2" localSheetId="12" hidden="1">1</definedName>
    <definedName name="solver_rel2" localSheetId="13" hidden="1">1</definedName>
    <definedName name="solver_rel2" localSheetId="14" hidden="1">1</definedName>
    <definedName name="solver_rel3" localSheetId="0" hidden="1">1</definedName>
    <definedName name="solver_rel3" localSheetId="2" hidden="1">1</definedName>
    <definedName name="solver_rel3" localSheetId="3" hidden="1">1</definedName>
    <definedName name="solver_rel3" localSheetId="4" hidden="1">1</definedName>
    <definedName name="solver_rel3" localSheetId="5" hidden="1">1</definedName>
    <definedName name="solver_rel3" localSheetId="6" hidden="1">1</definedName>
    <definedName name="solver_rel3" localSheetId="7" hidden="1">1</definedName>
    <definedName name="solver_rel3" localSheetId="8" hidden="1">1</definedName>
    <definedName name="solver_rel3" localSheetId="9" hidden="1">1</definedName>
    <definedName name="solver_rel3" localSheetId="10" hidden="1">1</definedName>
    <definedName name="solver_rel3" localSheetId="11" hidden="1">1</definedName>
    <definedName name="solver_rel3" localSheetId="12" hidden="1">1</definedName>
    <definedName name="solver_rel3" localSheetId="13" hidden="1">1</definedName>
    <definedName name="solver_rel3" localSheetId="14" hidden="1">1</definedName>
    <definedName name="solver_rel4" localSheetId="0" hidden="1">2</definedName>
    <definedName name="solver_rel4" localSheetId="2" hidden="1">2</definedName>
    <definedName name="solver_rel4" localSheetId="3" hidden="1">2</definedName>
    <definedName name="solver_rel4" localSheetId="4" hidden="1">2</definedName>
    <definedName name="solver_rel4" localSheetId="5" hidden="1">2</definedName>
    <definedName name="solver_rel4" localSheetId="6" hidden="1">2</definedName>
    <definedName name="solver_rel4" localSheetId="7" hidden="1">2</definedName>
    <definedName name="solver_rel4" localSheetId="8" hidden="1">2</definedName>
    <definedName name="solver_rel4" localSheetId="9" hidden="1">2</definedName>
    <definedName name="solver_rel4" localSheetId="10" hidden="1">2</definedName>
    <definedName name="solver_rel4" localSheetId="11" hidden="1">2</definedName>
    <definedName name="solver_rel4" localSheetId="12" hidden="1">2</definedName>
    <definedName name="solver_rel4" localSheetId="13" hidden="1">2</definedName>
    <definedName name="solver_rel4" localSheetId="14" hidden="1">2</definedName>
    <definedName name="solver_rel5" localSheetId="0" hidden="1">2</definedName>
    <definedName name="solver_rel5" localSheetId="2" hidden="1">2</definedName>
    <definedName name="solver_rel5" localSheetId="3" hidden="1">2</definedName>
    <definedName name="solver_rel5" localSheetId="4" hidden="1">2</definedName>
    <definedName name="solver_rel5" localSheetId="5" hidden="1">2</definedName>
    <definedName name="solver_rel5" localSheetId="6" hidden="1">2</definedName>
    <definedName name="solver_rel5" localSheetId="7" hidden="1">2</definedName>
    <definedName name="solver_rel5" localSheetId="8" hidden="1">2</definedName>
    <definedName name="solver_rel5" localSheetId="9" hidden="1">2</definedName>
    <definedName name="solver_rel5" localSheetId="10" hidden="1">2</definedName>
    <definedName name="solver_rel5" localSheetId="11" hidden="1">2</definedName>
    <definedName name="solver_rel5" localSheetId="12" hidden="1">2</definedName>
    <definedName name="solver_rel5" localSheetId="13" hidden="1">2</definedName>
    <definedName name="solver_rel5" localSheetId="14" hidden="1">2</definedName>
    <definedName name="solver_rel6" localSheetId="0" hidden="1">3</definedName>
    <definedName name="solver_rel6" localSheetId="2" hidden="1">3</definedName>
    <definedName name="solver_rel6" localSheetId="3" hidden="1">3</definedName>
    <definedName name="solver_rel6" localSheetId="4" hidden="1">3</definedName>
    <definedName name="solver_rel6" localSheetId="5" hidden="1">3</definedName>
    <definedName name="solver_rel6" localSheetId="6" hidden="1">3</definedName>
    <definedName name="solver_rel6" localSheetId="7" hidden="1">3</definedName>
    <definedName name="solver_rel6" localSheetId="8" hidden="1">3</definedName>
    <definedName name="solver_rel6" localSheetId="9" hidden="1">3</definedName>
    <definedName name="solver_rel6" localSheetId="10" hidden="1">3</definedName>
    <definedName name="solver_rel6" localSheetId="11" hidden="1">3</definedName>
    <definedName name="solver_rel6" localSheetId="12" hidden="1">3</definedName>
    <definedName name="solver_rel6" localSheetId="13" hidden="1">3</definedName>
    <definedName name="solver_rel6" localSheetId="14" hidden="1">3</definedName>
    <definedName name="solver_rel7" localSheetId="0" hidden="1">1</definedName>
    <definedName name="solver_rel7" localSheetId="2" hidden="1">1</definedName>
    <definedName name="solver_rel7" localSheetId="3" hidden="1">1</definedName>
    <definedName name="solver_rel7" localSheetId="4" hidden="1">1</definedName>
    <definedName name="solver_rel7" localSheetId="5" hidden="1">1</definedName>
    <definedName name="solver_rel7" localSheetId="6" hidden="1">5</definedName>
    <definedName name="solver_rel7" localSheetId="7" hidden="1">5</definedName>
    <definedName name="solver_rel7" localSheetId="8" hidden="1">5</definedName>
    <definedName name="solver_rel7" localSheetId="9" hidden="1">5</definedName>
    <definedName name="solver_rel7" localSheetId="10" hidden="1">5</definedName>
    <definedName name="solver_rel7" localSheetId="11" hidden="1">5</definedName>
    <definedName name="solver_rel7" localSheetId="12" hidden="1">5</definedName>
    <definedName name="solver_rel7" localSheetId="13" hidden="1">5</definedName>
    <definedName name="solver_rel7" localSheetId="14" hidden="1">5</definedName>
    <definedName name="solver_rel8" localSheetId="0" hidden="1">5</definedName>
    <definedName name="solver_rel8" localSheetId="2" hidden="1">5</definedName>
    <definedName name="solver_rel8" localSheetId="3" hidden="1">5</definedName>
    <definedName name="solver_rel8" localSheetId="4" hidden="1">5</definedName>
    <definedName name="solver_rel8" localSheetId="5" hidden="1">5</definedName>
    <definedName name="solver_rel8" localSheetId="6" hidden="1">5</definedName>
    <definedName name="solver_rel8" localSheetId="7" hidden="1">5</definedName>
    <definedName name="solver_rel8" localSheetId="8" hidden="1">5</definedName>
    <definedName name="solver_rel8" localSheetId="9" hidden="1">5</definedName>
    <definedName name="solver_rel8" localSheetId="10" hidden="1">5</definedName>
    <definedName name="solver_rel8" localSheetId="11" hidden="1">5</definedName>
    <definedName name="solver_rel8" localSheetId="12" hidden="1">5</definedName>
    <definedName name="solver_rel8" localSheetId="13" hidden="1">5</definedName>
    <definedName name="solver_rel8" localSheetId="14" hidden="1">5</definedName>
    <definedName name="solver_rel9" localSheetId="0" hidden="1">5</definedName>
    <definedName name="solver_rel9" localSheetId="2" hidden="1">5</definedName>
    <definedName name="solver_rel9" localSheetId="3" hidden="1">5</definedName>
    <definedName name="solver_rel9" localSheetId="4" hidden="1">5</definedName>
    <definedName name="solver_rel9" localSheetId="5" hidden="1">5</definedName>
    <definedName name="solver_rel9" localSheetId="6" hidden="1">1</definedName>
    <definedName name="solver_rel9" localSheetId="7" hidden="1">1</definedName>
    <definedName name="solver_rel9" localSheetId="8" hidden="1">1</definedName>
    <definedName name="solver_rel9" localSheetId="9" hidden="1">1</definedName>
    <definedName name="solver_rel9" localSheetId="10" hidden="1">1</definedName>
    <definedName name="solver_rel9" localSheetId="11" hidden="1">1</definedName>
    <definedName name="solver_rel9" localSheetId="12" hidden="1">1</definedName>
    <definedName name="solver_rel9" localSheetId="13" hidden="1">1</definedName>
    <definedName name="solver_rel9" localSheetId="14" hidden="1">1</definedName>
    <definedName name="solver_rhs1" localSheetId="0" hidden="1">'06.0'!$D$42</definedName>
    <definedName name="solver_rhs1" localSheetId="2" hidden="1">'06.1'!$D$42</definedName>
    <definedName name="solver_rhs1" localSheetId="3" hidden="1">'06.2'!$D$42</definedName>
    <definedName name="solver_rhs1" localSheetId="4" hidden="1">'06.3'!$D$42</definedName>
    <definedName name="solver_rhs1" localSheetId="5" hidden="1">'06.4'!$D$42</definedName>
    <definedName name="solver_rhs1" localSheetId="6" hidden="1">'07'!$D$42</definedName>
    <definedName name="solver_rhs1" localSheetId="7" hidden="1">'08'!$D$42</definedName>
    <definedName name="solver_rhs1" localSheetId="8" hidden="1">'09'!$D$42</definedName>
    <definedName name="solver_rhs1" localSheetId="9" hidden="1">'10'!$D$42</definedName>
    <definedName name="solver_rhs1" localSheetId="10" hidden="1">'11'!$D$42</definedName>
    <definedName name="solver_rhs1" localSheetId="11" hidden="1">'12'!$D$42</definedName>
    <definedName name="solver_rhs1" localSheetId="12" hidden="1">'14'!$D$42</definedName>
    <definedName name="solver_rhs1" localSheetId="13" hidden="1">'15'!$D$42</definedName>
    <definedName name="solver_rhs1" localSheetId="14" hidden="1">'16'!$D$42</definedName>
    <definedName name="solver_rhs10" localSheetId="0" hidden="1">1</definedName>
    <definedName name="solver_rhs10" localSheetId="2" hidden="1">1</definedName>
    <definedName name="solver_rhs10" localSheetId="3" hidden="1">1</definedName>
    <definedName name="solver_rhs10" localSheetId="4" hidden="1">1</definedName>
    <definedName name="solver_rhs10" localSheetId="5" hidden="1">1</definedName>
    <definedName name="solver_rhs10" localSheetId="6" hidden="1">'07'!$K$48</definedName>
    <definedName name="solver_rhs10" localSheetId="7" hidden="1">'08'!$X$25:$X$31</definedName>
    <definedName name="solver_rhs10" localSheetId="8" hidden="1">'09'!$X$25:$X$31</definedName>
    <definedName name="solver_rhs10" localSheetId="9" hidden="1">'10'!$X$25:$X$31</definedName>
    <definedName name="solver_rhs10" localSheetId="10" hidden="1">'11'!$X$25:$X$31</definedName>
    <definedName name="solver_rhs10" localSheetId="11" hidden="1">'12'!$X$25:$X$31</definedName>
    <definedName name="solver_rhs10" localSheetId="12" hidden="1">'14'!$X$25:$X$31</definedName>
    <definedName name="solver_rhs10" localSheetId="13" hidden="1">'15'!$X$25:$X$31</definedName>
    <definedName name="solver_rhs10" localSheetId="14" hidden="1">'16'!$X$25:$X$31</definedName>
    <definedName name="solver_rhs11" localSheetId="0" hidden="1">'06.0'!$X$25:$X$31</definedName>
    <definedName name="solver_rhs11" localSheetId="2" hidden="1">'06.1'!$X$25:$X$31</definedName>
    <definedName name="solver_rhs11" localSheetId="3" hidden="1">'06.2'!$X$25:$X$31</definedName>
    <definedName name="solver_rhs11" localSheetId="4" hidden="1">'06.3'!$X$25:$X$31</definedName>
    <definedName name="solver_rhs11" localSheetId="5" hidden="1">'06.4'!$X$25:$X$31</definedName>
    <definedName name="solver_rhs11" localSheetId="6" hidden="1">'07'!$K$48</definedName>
    <definedName name="solver_rhs11" localSheetId="7" hidden="1">'08'!$X$25:$X$31</definedName>
    <definedName name="solver_rhs11" localSheetId="8" hidden="1">'09'!$X$25:$X$31</definedName>
    <definedName name="solver_rhs11" localSheetId="9" hidden="1">'10'!$X$25:$X$31</definedName>
    <definedName name="solver_rhs11" localSheetId="10" hidden="1">'11'!$X$25:$X$31</definedName>
    <definedName name="solver_rhs11" localSheetId="11" hidden="1">'12'!$X$25:$X$31</definedName>
    <definedName name="solver_rhs11" localSheetId="12" hidden="1">'14'!$X$25:$X$31</definedName>
    <definedName name="solver_rhs11" localSheetId="13" hidden="1">'15'!$X$25:$X$31</definedName>
    <definedName name="solver_rhs11" localSheetId="14" hidden="1">'16'!$X$25:$X$31</definedName>
    <definedName name="solver_rhs12" localSheetId="0" hidden="1">'06.0'!$X$25:$X$31</definedName>
    <definedName name="solver_rhs12" localSheetId="2" hidden="1">'06.1'!$X$25:$X$31</definedName>
    <definedName name="solver_rhs12" localSheetId="3" hidden="1">'06.2'!$X$25:$X$31</definedName>
    <definedName name="solver_rhs12" localSheetId="4" hidden="1">'06.3'!$X$25:$X$31</definedName>
    <definedName name="solver_rhs12" localSheetId="5" hidden="1">'06.4'!$X$25:$X$31</definedName>
    <definedName name="solver_rhs12" localSheetId="6" hidden="1">'07'!$K$48</definedName>
    <definedName name="solver_rhs12" localSheetId="7" hidden="1">'08'!$X$25:$X$31</definedName>
    <definedName name="solver_rhs12" localSheetId="8" hidden="1">'09'!$X$25:$X$31</definedName>
    <definedName name="solver_rhs12" localSheetId="9" hidden="1">'10'!$X$25:$X$31</definedName>
    <definedName name="solver_rhs12" localSheetId="10" hidden="1">'11'!$X$25:$X$31</definedName>
    <definedName name="solver_rhs12" localSheetId="11" hidden="1">'12'!$X$25:$X$31</definedName>
    <definedName name="solver_rhs12" localSheetId="12" hidden="1">'14'!$X$25:$X$31</definedName>
    <definedName name="solver_rhs12" localSheetId="13" hidden="1">'15'!$X$25:$X$31</definedName>
    <definedName name="solver_rhs12" localSheetId="14" hidden="1">'16'!$X$25:$X$31</definedName>
    <definedName name="solver_rhs13" localSheetId="0" hidden="1">'06.0'!$X$25:$X$31</definedName>
    <definedName name="solver_rhs13" localSheetId="2" hidden="1">'06.1'!$X$25:$X$31</definedName>
    <definedName name="solver_rhs13" localSheetId="3" hidden="1">'06.2'!$X$25:$X$31</definedName>
    <definedName name="solver_rhs13" localSheetId="4" hidden="1">'06.3'!$X$25:$X$31</definedName>
    <definedName name="solver_rhs13" localSheetId="5" hidden="1">'06.4'!$X$25:$X$31</definedName>
    <definedName name="solver_rhs13" localSheetId="6" hidden="1">'07'!$K$48</definedName>
    <definedName name="solver_rhs13" localSheetId="7" hidden="1">'08'!$X$25:$X$31</definedName>
    <definedName name="solver_rhs13" localSheetId="8" hidden="1">'09'!$X$25:$X$31</definedName>
    <definedName name="solver_rhs13" localSheetId="9" hidden="1">'10'!$X$25:$X$31</definedName>
    <definedName name="solver_rhs13" localSheetId="10" hidden="1">'11'!$X$25:$X$31</definedName>
    <definedName name="solver_rhs13" localSheetId="11" hidden="1">'12'!$X$25:$X$31</definedName>
    <definedName name="solver_rhs13" localSheetId="12" hidden="1">'14'!$X$25:$X$31</definedName>
    <definedName name="solver_rhs13" localSheetId="13" hidden="1">'15'!$X$25:$X$31</definedName>
    <definedName name="solver_rhs13" localSheetId="14" hidden="1">'16'!$X$25:$X$31</definedName>
    <definedName name="solver_rhs14" localSheetId="6" hidden="1">'07'!$K$48</definedName>
    <definedName name="solver_rhs15" localSheetId="6" hidden="1">'07'!$K$48</definedName>
    <definedName name="solver_rhs16" localSheetId="6" hidden="1">'07'!$K$48</definedName>
    <definedName name="solver_rhs2" localSheetId="0" hidden="1">'06.0'!$D$44</definedName>
    <definedName name="solver_rhs2" localSheetId="2" hidden="1">'06.1'!$D$44</definedName>
    <definedName name="solver_rhs2" localSheetId="3" hidden="1">'06.2'!$D$44</definedName>
    <definedName name="solver_rhs2" localSheetId="4" hidden="1">'06.3'!$D$44</definedName>
    <definedName name="solver_rhs2" localSheetId="5" hidden="1">'06.4'!$D$44</definedName>
    <definedName name="solver_rhs2" localSheetId="6" hidden="1">'07'!$D$44</definedName>
    <definedName name="solver_rhs2" localSheetId="7" hidden="1">'08'!$D$44</definedName>
    <definedName name="solver_rhs2" localSheetId="8" hidden="1">'09'!$D$44</definedName>
    <definedName name="solver_rhs2" localSheetId="9" hidden="1">'10'!$D$44</definedName>
    <definedName name="solver_rhs2" localSheetId="10" hidden="1">'11'!$D$44</definedName>
    <definedName name="solver_rhs2" localSheetId="11" hidden="1">'12'!$D$44</definedName>
    <definedName name="solver_rhs2" localSheetId="12" hidden="1">'14'!$D$44</definedName>
    <definedName name="solver_rhs2" localSheetId="13" hidden="1">'15'!$D$44</definedName>
    <definedName name="solver_rhs2" localSheetId="14" hidden="1">'16'!$D$44</definedName>
    <definedName name="solver_rhs3" localSheetId="0" hidden="1">'06.0'!$D$45</definedName>
    <definedName name="solver_rhs3" localSheetId="2" hidden="1">'06.1'!$D$45</definedName>
    <definedName name="solver_rhs3" localSheetId="3" hidden="1">'06.2'!$D$45</definedName>
    <definedName name="solver_rhs3" localSheetId="4" hidden="1">'06.3'!$D$45</definedName>
    <definedName name="solver_rhs3" localSheetId="5" hidden="1">'06.4'!$D$45</definedName>
    <definedName name="solver_rhs3" localSheetId="6" hidden="1">'07'!$D$45</definedName>
    <definedName name="solver_rhs3" localSheetId="7" hidden="1">'08'!$D$45</definedName>
    <definedName name="solver_rhs3" localSheetId="8" hidden="1">'09'!$D$45</definedName>
    <definedName name="solver_rhs3" localSheetId="9" hidden="1">'10'!$D$45</definedName>
    <definedName name="solver_rhs3" localSheetId="10" hidden="1">'11'!$D$45</definedName>
    <definedName name="solver_rhs3" localSheetId="11" hidden="1">'12'!$D$45</definedName>
    <definedName name="solver_rhs3" localSheetId="12" hidden="1">'14'!$D$45</definedName>
    <definedName name="solver_rhs3" localSheetId="13" hidden="1">'15'!$D$45</definedName>
    <definedName name="solver_rhs3" localSheetId="14" hidden="1">'16'!$D$45</definedName>
    <definedName name="solver_rhs4" localSheetId="0" hidden="1">'06.0'!$D$47</definedName>
    <definedName name="solver_rhs4" localSheetId="2" hidden="1">'06.1'!$D$47</definedName>
    <definedName name="solver_rhs4" localSheetId="3" hidden="1">'06.2'!$D$47</definedName>
    <definedName name="solver_rhs4" localSheetId="4" hidden="1">'06.3'!$D$47</definedName>
    <definedName name="solver_rhs4" localSheetId="5" hidden="1">'06.4'!$D$47</definedName>
    <definedName name="solver_rhs4" localSheetId="6" hidden="1">'07'!$D$47</definedName>
    <definedName name="solver_rhs4" localSheetId="7" hidden="1">'08'!$D$47</definedName>
    <definedName name="solver_rhs4" localSheetId="8" hidden="1">'09'!$D$47</definedName>
    <definedName name="solver_rhs4" localSheetId="9" hidden="1">'10'!$D$47</definedName>
    <definedName name="solver_rhs4" localSheetId="10" hidden="1">'11'!$D$47</definedName>
    <definedName name="solver_rhs4" localSheetId="11" hidden="1">'12'!$D$47</definedName>
    <definedName name="solver_rhs4" localSheetId="12" hidden="1">'14'!$D$47</definedName>
    <definedName name="solver_rhs4" localSheetId="13" hidden="1">'15'!$D$47</definedName>
    <definedName name="solver_rhs4" localSheetId="14" hidden="1">'16'!$D$47</definedName>
    <definedName name="solver_rhs5" localSheetId="0" hidden="1">'06.0'!$D$48</definedName>
    <definedName name="solver_rhs5" localSheetId="2" hidden="1">'06.1'!$D$48</definedName>
    <definedName name="solver_rhs5" localSheetId="3" hidden="1">'06.2'!$D$48</definedName>
    <definedName name="solver_rhs5" localSheetId="4" hidden="1">'06.3'!$D$48</definedName>
    <definedName name="solver_rhs5" localSheetId="5" hidden="1">'06.4'!$D$48</definedName>
    <definedName name="solver_rhs5" localSheetId="6" hidden="1">'07'!$D$48</definedName>
    <definedName name="solver_rhs5" localSheetId="7" hidden="1">'08'!$D$48</definedName>
    <definedName name="solver_rhs5" localSheetId="8" hidden="1">'09'!$D$48</definedName>
    <definedName name="solver_rhs5" localSheetId="9" hidden="1">'10'!$D$48</definedName>
    <definedName name="solver_rhs5" localSheetId="10" hidden="1">'11'!$D$48</definedName>
    <definedName name="solver_rhs5" localSheetId="11" hidden="1">'12'!$D$48</definedName>
    <definedName name="solver_rhs5" localSheetId="12" hidden="1">'14'!$D$48</definedName>
    <definedName name="solver_rhs5" localSheetId="13" hidden="1">'15'!$D$48</definedName>
    <definedName name="solver_rhs5" localSheetId="14" hidden="1">'16'!$D$48</definedName>
    <definedName name="solver_rhs6" localSheetId="0" hidden="1">'06.0'!$D$50</definedName>
    <definedName name="solver_rhs6" localSheetId="2" hidden="1">'06.1'!$D$50</definedName>
    <definedName name="solver_rhs6" localSheetId="3" hidden="1">'06.2'!$D$50</definedName>
    <definedName name="solver_rhs6" localSheetId="4" hidden="1">'06.3'!$D$50</definedName>
    <definedName name="solver_rhs6" localSheetId="5" hidden="1">'06.4'!$D$50</definedName>
    <definedName name="solver_rhs6" localSheetId="6" hidden="1">'07'!$D$50</definedName>
    <definedName name="solver_rhs6" localSheetId="7" hidden="1">'08'!$D$50</definedName>
    <definedName name="solver_rhs6" localSheetId="8" hidden="1">'09'!$D$50</definedName>
    <definedName name="solver_rhs6" localSheetId="9" hidden="1">'10'!$D$50</definedName>
    <definedName name="solver_rhs6" localSheetId="10" hidden="1">'11'!$D$50</definedName>
    <definedName name="solver_rhs6" localSheetId="11" hidden="1">'12'!$D$50</definedName>
    <definedName name="solver_rhs6" localSheetId="12" hidden="1">'14'!$D$50</definedName>
    <definedName name="solver_rhs6" localSheetId="13" hidden="1">'15'!$D$50</definedName>
    <definedName name="solver_rhs6" localSheetId="14" hidden="1">'16'!$D$50</definedName>
    <definedName name="solver_rhs7" localSheetId="0" hidden="1">'06.0'!$D$53:$D$56</definedName>
    <definedName name="solver_rhs7" localSheetId="2" hidden="1">'06.1'!$D$53:$D$56</definedName>
    <definedName name="solver_rhs7" localSheetId="3" hidden="1">'06.2'!$D$53:$D$56</definedName>
    <definedName name="solver_rhs7" localSheetId="4" hidden="1">'06.3'!$D$53:$D$56</definedName>
    <definedName name="solver_rhs7" localSheetId="5" hidden="1">'06.4'!$D$53:$D$56</definedName>
    <definedName name="solver_rhs7" localSheetId="6" hidden="1">binary</definedName>
    <definedName name="solver_rhs7" localSheetId="7" hidden="1">binary</definedName>
    <definedName name="solver_rhs7" localSheetId="8" hidden="1">binary</definedName>
    <definedName name="solver_rhs7" localSheetId="9" hidden="1">binary</definedName>
    <definedName name="solver_rhs7" localSheetId="10" hidden="1">binary</definedName>
    <definedName name="solver_rhs7" localSheetId="11" hidden="1">binary</definedName>
    <definedName name="solver_rhs7" localSheetId="12" hidden="1">binary</definedName>
    <definedName name="solver_rhs7" localSheetId="13" hidden="1">binary</definedName>
    <definedName name="solver_rhs7" localSheetId="14" hidden="1">binary</definedName>
    <definedName name="solver_rhs8" localSheetId="0" hidden="1">binary</definedName>
    <definedName name="solver_rhs8" localSheetId="2" hidden="1">binary</definedName>
    <definedName name="solver_rhs8" localSheetId="3" hidden="1">binary</definedName>
    <definedName name="solver_rhs8" localSheetId="4" hidden="1">binary</definedName>
    <definedName name="solver_rhs8" localSheetId="5" hidden="1">binary</definedName>
    <definedName name="solver_rhs8" localSheetId="6" hidden="1">binary</definedName>
    <definedName name="solver_rhs8" localSheetId="7" hidden="1">binary</definedName>
    <definedName name="solver_rhs8" localSheetId="8" hidden="1">binary</definedName>
    <definedName name="solver_rhs8" localSheetId="9" hidden="1">binary</definedName>
    <definedName name="solver_rhs8" localSheetId="10" hidden="1">binary</definedName>
    <definedName name="solver_rhs8" localSheetId="11" hidden="1">binary</definedName>
    <definedName name="solver_rhs8" localSheetId="12" hidden="1">binary</definedName>
    <definedName name="solver_rhs8" localSheetId="13" hidden="1">binary</definedName>
    <definedName name="solver_rhs8" localSheetId="14" hidden="1">binary</definedName>
    <definedName name="solver_rhs9" localSheetId="0" hidden="1">binary</definedName>
    <definedName name="solver_rhs9" localSheetId="2" hidden="1">binary</definedName>
    <definedName name="solver_rhs9" localSheetId="3" hidden="1">binary</definedName>
    <definedName name="solver_rhs9" localSheetId="4" hidden="1">binary</definedName>
    <definedName name="solver_rhs9" localSheetId="5" hidden="1">binary</definedName>
    <definedName name="solver_rhs9" localSheetId="6" hidden="1">1</definedName>
    <definedName name="solver_rhs9" localSheetId="7" hidden="1">1</definedName>
    <definedName name="solver_rhs9" localSheetId="8" hidden="1">1</definedName>
    <definedName name="solver_rhs9" localSheetId="9" hidden="1">1</definedName>
    <definedName name="solver_rhs9" localSheetId="10" hidden="1">1</definedName>
    <definedName name="solver_rhs9" localSheetId="11" hidden="1">1</definedName>
    <definedName name="solver_rhs9" localSheetId="12" hidden="1">1</definedName>
    <definedName name="solver_rhs9" localSheetId="13" hidden="1">1</definedName>
    <definedName name="solver_rhs9" localSheetId="14" hidden="1">1</definedName>
    <definedName name="solver_rlx" localSheetId="0" hidden="1">2</definedName>
    <definedName name="solver_rlx" localSheetId="2" hidden="1">2</definedName>
    <definedName name="solver_rlx" localSheetId="3" hidden="1">2</definedName>
    <definedName name="solver_rlx" localSheetId="4" hidden="1">2</definedName>
    <definedName name="solver_rlx" localSheetId="5" hidden="1">2</definedName>
    <definedName name="solver_rlx" localSheetId="6" hidden="1">2</definedName>
    <definedName name="solver_rlx" localSheetId="7" hidden="1">2</definedName>
    <definedName name="solver_rlx" localSheetId="8" hidden="1">2</definedName>
    <definedName name="solver_rlx" localSheetId="9" hidden="1">2</definedName>
    <definedName name="solver_rlx" localSheetId="10" hidden="1">2</definedName>
    <definedName name="solver_rlx" localSheetId="11" hidden="1">2</definedName>
    <definedName name="solver_rlx" localSheetId="12" hidden="1">2</definedName>
    <definedName name="solver_rlx" localSheetId="13" hidden="1">2</definedName>
    <definedName name="solver_rlx" localSheetId="14" hidden="1">2</definedName>
    <definedName name="solver_rsd" localSheetId="0" hidden="1">0</definedName>
    <definedName name="solver_rsd" localSheetId="2" hidden="1">0</definedName>
    <definedName name="solver_rsd" localSheetId="3" hidden="1">0</definedName>
    <definedName name="solver_rsd" localSheetId="4" hidden="1">0</definedName>
    <definedName name="solver_rsd" localSheetId="5" hidden="1">0</definedName>
    <definedName name="solver_rsd" localSheetId="6" hidden="1">0</definedName>
    <definedName name="solver_rsd" localSheetId="7" hidden="1">0</definedName>
    <definedName name="solver_rsd" localSheetId="8" hidden="1">0</definedName>
    <definedName name="solver_rsd" localSheetId="9" hidden="1">0</definedName>
    <definedName name="solver_rsd" localSheetId="10" hidden="1">0</definedName>
    <definedName name="solver_rsd" localSheetId="11" hidden="1">0</definedName>
    <definedName name="solver_rsd" localSheetId="12" hidden="1">0</definedName>
    <definedName name="solver_rsd" localSheetId="13" hidden="1">0</definedName>
    <definedName name="solver_rsd" localSheetId="14" hidden="1">0</definedName>
    <definedName name="solver_scl" localSheetId="0" hidden="1">1</definedName>
    <definedName name="solver_scl" localSheetId="2" hidden="1">1</definedName>
    <definedName name="solver_scl" localSheetId="3" hidden="1">1</definedName>
    <definedName name="solver_scl" localSheetId="4" hidden="1">1</definedName>
    <definedName name="solver_scl" localSheetId="5" hidden="1">1</definedName>
    <definedName name="solver_scl" localSheetId="6" hidden="1">1</definedName>
    <definedName name="solver_scl" localSheetId="7" hidden="1">1</definedName>
    <definedName name="solver_scl" localSheetId="8" hidden="1">1</definedName>
    <definedName name="solver_scl" localSheetId="9" hidden="1">1</definedName>
    <definedName name="solver_scl" localSheetId="10" hidden="1">1</definedName>
    <definedName name="solver_scl" localSheetId="11" hidden="1">1</definedName>
    <definedName name="solver_scl" localSheetId="12" hidden="1">1</definedName>
    <definedName name="solver_scl" localSheetId="13" hidden="1">1</definedName>
    <definedName name="solver_scl" localSheetId="14" hidden="1">1</definedName>
    <definedName name="solver_sho" localSheetId="0" hidden="1">2</definedName>
    <definedName name="solver_sho" localSheetId="2" hidden="1">2</definedName>
    <definedName name="solver_sho" localSheetId="3" hidden="1">2</definedName>
    <definedName name="solver_sho" localSheetId="4" hidden="1">2</definedName>
    <definedName name="solver_sho" localSheetId="5" hidden="1">2</definedName>
    <definedName name="solver_sho" localSheetId="6" hidden="1">2</definedName>
    <definedName name="solver_sho" localSheetId="7" hidden="1">2</definedName>
    <definedName name="solver_sho" localSheetId="8" hidden="1">2</definedName>
    <definedName name="solver_sho" localSheetId="9" hidden="1">2</definedName>
    <definedName name="solver_sho" localSheetId="10" hidden="1">2</definedName>
    <definedName name="solver_sho" localSheetId="11" hidden="1">2</definedName>
    <definedName name="solver_sho" localSheetId="12" hidden="1">2</definedName>
    <definedName name="solver_sho" localSheetId="13" hidden="1">2</definedName>
    <definedName name="solver_sho" localSheetId="14" hidden="1">2</definedName>
    <definedName name="solver_ssz" localSheetId="0" hidden="1">100</definedName>
    <definedName name="solver_ssz" localSheetId="2" hidden="1">100</definedName>
    <definedName name="solver_ssz" localSheetId="3" hidden="1">100</definedName>
    <definedName name="solver_ssz" localSheetId="4" hidden="1">100</definedName>
    <definedName name="solver_ssz" localSheetId="5" hidden="1">100</definedName>
    <definedName name="solver_ssz" localSheetId="6" hidden="1">100</definedName>
    <definedName name="solver_ssz" localSheetId="7" hidden="1">100</definedName>
    <definedName name="solver_ssz" localSheetId="8" hidden="1">100</definedName>
    <definedName name="solver_ssz" localSheetId="9" hidden="1">100</definedName>
    <definedName name="solver_ssz" localSheetId="10" hidden="1">100</definedName>
    <definedName name="solver_ssz" localSheetId="11" hidden="1">100</definedName>
    <definedName name="solver_ssz" localSheetId="12" hidden="1">100</definedName>
    <definedName name="solver_ssz" localSheetId="13" hidden="1">100</definedName>
    <definedName name="solver_ssz" localSheetId="14" hidden="1">100</definedName>
    <definedName name="solver_tim" localSheetId="0" hidden="1">2147483647</definedName>
    <definedName name="solver_tim" localSheetId="2" hidden="1">2147483647</definedName>
    <definedName name="solver_tim" localSheetId="3" hidden="1">2147483647</definedName>
    <definedName name="solver_tim" localSheetId="4" hidden="1">2147483647</definedName>
    <definedName name="solver_tim" localSheetId="5" hidden="1">2147483647</definedName>
    <definedName name="solver_tim" localSheetId="6" hidden="1">2147483647</definedName>
    <definedName name="solver_tim" localSheetId="7" hidden="1">2147483647</definedName>
    <definedName name="solver_tim" localSheetId="8" hidden="1">2147483647</definedName>
    <definedName name="solver_tim" localSheetId="9" hidden="1">2147483647</definedName>
    <definedName name="solver_tim" localSheetId="10" hidden="1">2147483647</definedName>
    <definedName name="solver_tim" localSheetId="11" hidden="1">2147483647</definedName>
    <definedName name="solver_tim" localSheetId="12" hidden="1">2147483647</definedName>
    <definedName name="solver_tim" localSheetId="13" hidden="1">2147483647</definedName>
    <definedName name="solver_tim" localSheetId="14" hidden="1">2147483647</definedName>
    <definedName name="solver_tol" localSheetId="0" hidden="1">0.01</definedName>
    <definedName name="solver_tol" localSheetId="2" hidden="1">0.01</definedName>
    <definedName name="solver_tol" localSheetId="3" hidden="1">0.01</definedName>
    <definedName name="solver_tol" localSheetId="4" hidden="1">0.01</definedName>
    <definedName name="solver_tol" localSheetId="5" hidden="1">0.01</definedName>
    <definedName name="solver_tol" localSheetId="6" hidden="1">0.01</definedName>
    <definedName name="solver_tol" localSheetId="7" hidden="1">0.01</definedName>
    <definedName name="solver_tol" localSheetId="8" hidden="1">0.01</definedName>
    <definedName name="solver_tol" localSheetId="9" hidden="1">0.01</definedName>
    <definedName name="solver_tol" localSheetId="10" hidden="1">0.01</definedName>
    <definedName name="solver_tol" localSheetId="11" hidden="1">0.01</definedName>
    <definedName name="solver_tol" localSheetId="12" hidden="1">0.01</definedName>
    <definedName name="solver_tol" localSheetId="13" hidden="1">0.01</definedName>
    <definedName name="solver_tol" localSheetId="14" hidden="1">0.01</definedName>
    <definedName name="solver_typ" localSheetId="0" hidden="1">1</definedName>
    <definedName name="solver_typ" localSheetId="2" hidden="1">1</definedName>
    <definedName name="solver_typ" localSheetId="3" hidden="1">1</definedName>
    <definedName name="solver_typ" localSheetId="4" hidden="1">1</definedName>
    <definedName name="solver_typ" localSheetId="5" hidden="1">1</definedName>
    <definedName name="solver_typ" localSheetId="6" hidden="1">1</definedName>
    <definedName name="solver_typ" localSheetId="7" hidden="1">1</definedName>
    <definedName name="solver_typ" localSheetId="8" hidden="1">1</definedName>
    <definedName name="solver_typ" localSheetId="9" hidden="1">1</definedName>
    <definedName name="solver_typ" localSheetId="10" hidden="1">1</definedName>
    <definedName name="solver_typ" localSheetId="11" hidden="1">1</definedName>
    <definedName name="solver_typ" localSheetId="12" hidden="1">1</definedName>
    <definedName name="solver_typ" localSheetId="13" hidden="1">1</definedName>
    <definedName name="solver_typ" localSheetId="14" hidden="1">1</definedName>
    <definedName name="solver_val" localSheetId="0" hidden="1">0</definedName>
    <definedName name="solver_val" localSheetId="2" hidden="1">0</definedName>
    <definedName name="solver_val" localSheetId="3" hidden="1">0</definedName>
    <definedName name="solver_val" localSheetId="4" hidden="1">0</definedName>
    <definedName name="solver_val" localSheetId="5" hidden="1">0</definedName>
    <definedName name="solver_val" localSheetId="6" hidden="1">0</definedName>
    <definedName name="solver_val" localSheetId="7" hidden="1">0</definedName>
    <definedName name="solver_val" localSheetId="8" hidden="1">0</definedName>
    <definedName name="solver_val" localSheetId="9" hidden="1">0</definedName>
    <definedName name="solver_val" localSheetId="10" hidden="1">0</definedName>
    <definedName name="solver_val" localSheetId="11" hidden="1">0</definedName>
    <definedName name="solver_val" localSheetId="12" hidden="1">0</definedName>
    <definedName name="solver_val" localSheetId="13" hidden="1">0</definedName>
    <definedName name="solver_val" localSheetId="14" hidden="1">0</definedName>
    <definedName name="solver_ver" localSheetId="0" hidden="1">3</definedName>
    <definedName name="solver_ver" localSheetId="2" hidden="1">3</definedName>
    <definedName name="solver_ver" localSheetId="3" hidden="1">3</definedName>
    <definedName name="solver_ver" localSheetId="4" hidden="1">3</definedName>
    <definedName name="solver_ver" localSheetId="5" hidden="1">3</definedName>
    <definedName name="solver_ver" localSheetId="6" hidden="1">3</definedName>
    <definedName name="solver_ver" localSheetId="7" hidden="1">3</definedName>
    <definedName name="solver_ver" localSheetId="8" hidden="1">3</definedName>
    <definedName name="solver_ver" localSheetId="9" hidden="1">3</definedName>
    <definedName name="solver_ver" localSheetId="10" hidden="1">3</definedName>
    <definedName name="solver_ver" localSheetId="11" hidden="1">3</definedName>
    <definedName name="solver_ver" localSheetId="12" hidden="1">3</definedName>
    <definedName name="solver_ver" localSheetId="13" hidden="1">3</definedName>
    <definedName name="solver_ver" localSheetId="14" hidden="1">3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56" i="27" l="1"/>
  <c r="B55" i="27"/>
  <c r="B54" i="27"/>
  <c r="B53" i="27"/>
  <c r="B42" i="27"/>
  <c r="B37" i="27"/>
  <c r="B36" i="27"/>
  <c r="I33" i="27"/>
  <c r="H33" i="27"/>
  <c r="X31" i="27"/>
  <c r="W31" i="27"/>
  <c r="V31" i="27"/>
  <c r="U31" i="27"/>
  <c r="T31" i="27"/>
  <c r="S31" i="27"/>
  <c r="R31" i="27"/>
  <c r="Q31" i="27"/>
  <c r="P31" i="27"/>
  <c r="O31" i="27"/>
  <c r="N31" i="27"/>
  <c r="M31" i="27"/>
  <c r="L31" i="27"/>
  <c r="K31" i="27"/>
  <c r="J31" i="27"/>
  <c r="X30" i="27"/>
  <c r="W30" i="27"/>
  <c r="V30" i="27"/>
  <c r="U30" i="27"/>
  <c r="T30" i="27"/>
  <c r="S30" i="27"/>
  <c r="R30" i="27"/>
  <c r="Q30" i="27"/>
  <c r="P30" i="27"/>
  <c r="O30" i="27"/>
  <c r="N30" i="27"/>
  <c r="M30" i="27"/>
  <c r="L30" i="27"/>
  <c r="K30" i="27"/>
  <c r="J30" i="27"/>
  <c r="X29" i="27"/>
  <c r="W29" i="27"/>
  <c r="V29" i="27"/>
  <c r="U29" i="27"/>
  <c r="T29" i="27"/>
  <c r="S29" i="27"/>
  <c r="R29" i="27"/>
  <c r="Q29" i="27"/>
  <c r="P29" i="27"/>
  <c r="O29" i="27"/>
  <c r="N29" i="27"/>
  <c r="M29" i="27"/>
  <c r="L29" i="27"/>
  <c r="K29" i="27"/>
  <c r="J29" i="27"/>
  <c r="X28" i="27"/>
  <c r="W28" i="27"/>
  <c r="V28" i="27"/>
  <c r="U28" i="27"/>
  <c r="T28" i="27"/>
  <c r="S28" i="27"/>
  <c r="R28" i="27"/>
  <c r="Q28" i="27"/>
  <c r="P28" i="27"/>
  <c r="O28" i="27"/>
  <c r="N28" i="27"/>
  <c r="M28" i="27"/>
  <c r="L28" i="27"/>
  <c r="K28" i="27"/>
  <c r="J28" i="27"/>
  <c r="X27" i="27"/>
  <c r="W27" i="27"/>
  <c r="V27" i="27"/>
  <c r="U27" i="27"/>
  <c r="T27" i="27"/>
  <c r="S27" i="27"/>
  <c r="R27" i="27"/>
  <c r="Q27" i="27"/>
  <c r="P27" i="27"/>
  <c r="O27" i="27"/>
  <c r="N27" i="27"/>
  <c r="M27" i="27"/>
  <c r="L27" i="27"/>
  <c r="K27" i="27"/>
  <c r="J27" i="27"/>
  <c r="X26" i="27"/>
  <c r="W26" i="27"/>
  <c r="V26" i="27"/>
  <c r="U26" i="27"/>
  <c r="T26" i="27"/>
  <c r="S26" i="27"/>
  <c r="R26" i="27"/>
  <c r="Q26" i="27"/>
  <c r="P26" i="27"/>
  <c r="O26" i="27"/>
  <c r="N26" i="27"/>
  <c r="M26" i="27"/>
  <c r="L26" i="27"/>
  <c r="K26" i="27"/>
  <c r="J26" i="27"/>
  <c r="X25" i="27"/>
  <c r="W25" i="27"/>
  <c r="V25" i="27"/>
  <c r="U25" i="27"/>
  <c r="T25" i="27"/>
  <c r="S25" i="27"/>
  <c r="R25" i="27"/>
  <c r="Q25" i="27"/>
  <c r="P25" i="27"/>
  <c r="O25" i="27"/>
  <c r="N25" i="27"/>
  <c r="M25" i="27"/>
  <c r="L25" i="27"/>
  <c r="K25" i="27"/>
  <c r="J25" i="27"/>
  <c r="X24" i="27"/>
  <c r="W24" i="27"/>
  <c r="V24" i="27"/>
  <c r="U24" i="27"/>
  <c r="T24" i="27"/>
  <c r="S24" i="27"/>
  <c r="R24" i="27"/>
  <c r="Q24" i="27"/>
  <c r="P24" i="27"/>
  <c r="O24" i="27"/>
  <c r="N24" i="27"/>
  <c r="M24" i="27"/>
  <c r="L24" i="27"/>
  <c r="K24" i="27"/>
  <c r="J24" i="27"/>
  <c r="X23" i="27"/>
  <c r="W23" i="27"/>
  <c r="V23" i="27"/>
  <c r="U23" i="27"/>
  <c r="T23" i="27"/>
  <c r="S23" i="27"/>
  <c r="R23" i="27"/>
  <c r="Q23" i="27"/>
  <c r="P23" i="27"/>
  <c r="O23" i="27"/>
  <c r="N23" i="27"/>
  <c r="M23" i="27"/>
  <c r="L23" i="27"/>
  <c r="K23" i="27"/>
  <c r="J23" i="27"/>
  <c r="X22" i="27"/>
  <c r="W22" i="27"/>
  <c r="V22" i="27"/>
  <c r="U22" i="27"/>
  <c r="T22" i="27"/>
  <c r="S22" i="27"/>
  <c r="R22" i="27"/>
  <c r="Q22" i="27"/>
  <c r="P22" i="27"/>
  <c r="O22" i="27"/>
  <c r="N22" i="27"/>
  <c r="M22" i="27"/>
  <c r="L22" i="27"/>
  <c r="K22" i="27"/>
  <c r="J22" i="27"/>
  <c r="X21" i="27"/>
  <c r="W21" i="27"/>
  <c r="V21" i="27"/>
  <c r="U21" i="27"/>
  <c r="T21" i="27"/>
  <c r="S21" i="27"/>
  <c r="R21" i="27"/>
  <c r="Q21" i="27"/>
  <c r="P21" i="27"/>
  <c r="O21" i="27"/>
  <c r="N21" i="27"/>
  <c r="M21" i="27"/>
  <c r="L21" i="27"/>
  <c r="K21" i="27"/>
  <c r="J21" i="27"/>
  <c r="X20" i="27"/>
  <c r="W20" i="27"/>
  <c r="V20" i="27"/>
  <c r="U20" i="27"/>
  <c r="T20" i="27"/>
  <c r="S20" i="27"/>
  <c r="R20" i="27"/>
  <c r="Q20" i="27"/>
  <c r="P20" i="27"/>
  <c r="O20" i="27"/>
  <c r="N20" i="27"/>
  <c r="M20" i="27"/>
  <c r="L20" i="27"/>
  <c r="K20" i="27"/>
  <c r="J20" i="27"/>
  <c r="X19" i="27"/>
  <c r="W19" i="27"/>
  <c r="V19" i="27"/>
  <c r="U19" i="27"/>
  <c r="T19" i="27"/>
  <c r="S19" i="27"/>
  <c r="R19" i="27"/>
  <c r="Q19" i="27"/>
  <c r="P19" i="27"/>
  <c r="O19" i="27"/>
  <c r="N19" i="27"/>
  <c r="M19" i="27"/>
  <c r="L19" i="27"/>
  <c r="K19" i="27"/>
  <c r="J19" i="27"/>
  <c r="X18" i="27"/>
  <c r="W18" i="27"/>
  <c r="V18" i="27"/>
  <c r="U18" i="27"/>
  <c r="T18" i="27"/>
  <c r="S18" i="27"/>
  <c r="R18" i="27"/>
  <c r="Q18" i="27"/>
  <c r="P18" i="27"/>
  <c r="O18" i="27"/>
  <c r="N18" i="27"/>
  <c r="M18" i="27"/>
  <c r="L18" i="27"/>
  <c r="K18" i="27"/>
  <c r="J18" i="27"/>
  <c r="X17" i="27"/>
  <c r="W17" i="27"/>
  <c r="V17" i="27"/>
  <c r="U17" i="27"/>
  <c r="T17" i="27"/>
  <c r="S17" i="27"/>
  <c r="R17" i="27"/>
  <c r="Q17" i="27"/>
  <c r="P17" i="27"/>
  <c r="O17" i="27"/>
  <c r="N17" i="27"/>
  <c r="M17" i="27"/>
  <c r="L17" i="27"/>
  <c r="K17" i="27"/>
  <c r="J17" i="27"/>
  <c r="X16" i="27"/>
  <c r="W16" i="27"/>
  <c r="V16" i="27"/>
  <c r="U16" i="27"/>
  <c r="T16" i="27"/>
  <c r="S16" i="27"/>
  <c r="R16" i="27"/>
  <c r="Q16" i="27"/>
  <c r="P16" i="27"/>
  <c r="O16" i="27"/>
  <c r="N16" i="27"/>
  <c r="M16" i="27"/>
  <c r="L16" i="27"/>
  <c r="K16" i="27"/>
  <c r="J16" i="27"/>
  <c r="X15" i="27"/>
  <c r="W15" i="27"/>
  <c r="V15" i="27"/>
  <c r="U15" i="27"/>
  <c r="T15" i="27"/>
  <c r="S15" i="27"/>
  <c r="R15" i="27"/>
  <c r="Q15" i="27"/>
  <c r="P15" i="27"/>
  <c r="O15" i="27"/>
  <c r="N15" i="27"/>
  <c r="M15" i="27"/>
  <c r="L15" i="27"/>
  <c r="K15" i="27"/>
  <c r="J15" i="27"/>
  <c r="X14" i="27"/>
  <c r="W14" i="27"/>
  <c r="V14" i="27"/>
  <c r="U14" i="27"/>
  <c r="T14" i="27"/>
  <c r="S14" i="27"/>
  <c r="R14" i="27"/>
  <c r="Q14" i="27"/>
  <c r="P14" i="27"/>
  <c r="O14" i="27"/>
  <c r="N14" i="27"/>
  <c r="M14" i="27"/>
  <c r="L14" i="27"/>
  <c r="K14" i="27"/>
  <c r="J14" i="27"/>
  <c r="X13" i="27"/>
  <c r="W13" i="27"/>
  <c r="V13" i="27"/>
  <c r="U13" i="27"/>
  <c r="T13" i="27"/>
  <c r="S13" i="27"/>
  <c r="R13" i="27"/>
  <c r="Q13" i="27"/>
  <c r="P13" i="27"/>
  <c r="O13" i="27"/>
  <c r="N13" i="27"/>
  <c r="M13" i="27"/>
  <c r="L13" i="27"/>
  <c r="K13" i="27"/>
  <c r="J13" i="27"/>
  <c r="X12" i="27"/>
  <c r="W12" i="27"/>
  <c r="V12" i="27"/>
  <c r="U12" i="27"/>
  <c r="T12" i="27"/>
  <c r="S12" i="27"/>
  <c r="R12" i="27"/>
  <c r="Q12" i="27"/>
  <c r="P12" i="27"/>
  <c r="O12" i="27"/>
  <c r="N12" i="27"/>
  <c r="M12" i="27"/>
  <c r="L12" i="27"/>
  <c r="K12" i="27"/>
  <c r="J12" i="27"/>
  <c r="X11" i="27"/>
  <c r="W11" i="27"/>
  <c r="V11" i="27"/>
  <c r="U11" i="27"/>
  <c r="T11" i="27"/>
  <c r="S11" i="27"/>
  <c r="R11" i="27"/>
  <c r="Q11" i="27"/>
  <c r="P11" i="27"/>
  <c r="O11" i="27"/>
  <c r="N11" i="27"/>
  <c r="M11" i="27"/>
  <c r="L11" i="27"/>
  <c r="K11" i="27"/>
  <c r="J11" i="27"/>
  <c r="X10" i="27"/>
  <c r="W10" i="27"/>
  <c r="V10" i="27"/>
  <c r="U10" i="27"/>
  <c r="T10" i="27"/>
  <c r="S10" i="27"/>
  <c r="R10" i="27"/>
  <c r="Q10" i="27"/>
  <c r="P10" i="27"/>
  <c r="O10" i="27"/>
  <c r="N10" i="27"/>
  <c r="M10" i="27"/>
  <c r="L10" i="27"/>
  <c r="K10" i="27"/>
  <c r="J10" i="27"/>
  <c r="X9" i="27"/>
  <c r="W9" i="27"/>
  <c r="V9" i="27"/>
  <c r="U9" i="27"/>
  <c r="T9" i="27"/>
  <c r="S9" i="27"/>
  <c r="R9" i="27"/>
  <c r="Q9" i="27"/>
  <c r="P9" i="27"/>
  <c r="O9" i="27"/>
  <c r="N9" i="27"/>
  <c r="M9" i="27"/>
  <c r="L9" i="27"/>
  <c r="K9" i="27"/>
  <c r="J9" i="27"/>
  <c r="X8" i="27"/>
  <c r="W8" i="27"/>
  <c r="V8" i="27"/>
  <c r="U8" i="27"/>
  <c r="T8" i="27"/>
  <c r="S8" i="27"/>
  <c r="R8" i="27"/>
  <c r="Q8" i="27"/>
  <c r="P8" i="27"/>
  <c r="O8" i="27"/>
  <c r="N8" i="27"/>
  <c r="M8" i="27"/>
  <c r="L8" i="27"/>
  <c r="K8" i="27"/>
  <c r="J8" i="27"/>
  <c r="X7" i="27"/>
  <c r="W7" i="27"/>
  <c r="V7" i="27"/>
  <c r="U7" i="27"/>
  <c r="T7" i="27"/>
  <c r="S7" i="27"/>
  <c r="R7" i="27"/>
  <c r="Q7" i="27"/>
  <c r="P7" i="27"/>
  <c r="O7" i="27"/>
  <c r="N7" i="27"/>
  <c r="M7" i="27"/>
  <c r="L7" i="27"/>
  <c r="K7" i="27"/>
  <c r="J7" i="27"/>
  <c r="X6" i="27"/>
  <c r="W6" i="27"/>
  <c r="V6" i="27"/>
  <c r="U6" i="27"/>
  <c r="T6" i="27"/>
  <c r="S6" i="27"/>
  <c r="R6" i="27"/>
  <c r="Q6" i="27"/>
  <c r="P6" i="27"/>
  <c r="O6" i="27"/>
  <c r="N6" i="27"/>
  <c r="M6" i="27"/>
  <c r="L6" i="27"/>
  <c r="K6" i="27"/>
  <c r="J6" i="27"/>
  <c r="X5" i="27"/>
  <c r="W5" i="27"/>
  <c r="V5" i="27"/>
  <c r="U5" i="27"/>
  <c r="T5" i="27"/>
  <c r="S5" i="27"/>
  <c r="R5" i="27"/>
  <c r="Q5" i="27"/>
  <c r="P5" i="27"/>
  <c r="O5" i="27"/>
  <c r="N5" i="27"/>
  <c r="M5" i="27"/>
  <c r="L5" i="27"/>
  <c r="K5" i="27"/>
  <c r="J5" i="27"/>
  <c r="X4" i="27"/>
  <c r="W4" i="27"/>
  <c r="V4" i="27"/>
  <c r="U4" i="27"/>
  <c r="T4" i="27"/>
  <c r="S4" i="27"/>
  <c r="R4" i="27"/>
  <c r="Q4" i="27"/>
  <c r="P4" i="27"/>
  <c r="O4" i="27"/>
  <c r="N4" i="27"/>
  <c r="M4" i="27"/>
  <c r="L4" i="27"/>
  <c r="K4" i="27"/>
  <c r="J4" i="27"/>
  <c r="X3" i="27"/>
  <c r="W3" i="27"/>
  <c r="V3" i="27"/>
  <c r="U3" i="27"/>
  <c r="T3" i="27"/>
  <c r="S3" i="27"/>
  <c r="R3" i="27"/>
  <c r="Q3" i="27"/>
  <c r="P3" i="27"/>
  <c r="O3" i="27"/>
  <c r="N3" i="27"/>
  <c r="M3" i="27"/>
  <c r="L3" i="27"/>
  <c r="K3" i="27"/>
  <c r="J3" i="27"/>
  <c r="X2" i="27"/>
  <c r="W2" i="27"/>
  <c r="V2" i="27"/>
  <c r="U2" i="27"/>
  <c r="T2" i="27"/>
  <c r="S2" i="27"/>
  <c r="R2" i="27"/>
  <c r="Q2" i="27"/>
  <c r="P2" i="27"/>
  <c r="O2" i="27"/>
  <c r="N2" i="27"/>
  <c r="M2" i="27"/>
  <c r="L2" i="27"/>
  <c r="K2" i="27"/>
  <c r="J2" i="27"/>
  <c r="D47" i="27" l="1"/>
  <c r="K33" i="27"/>
  <c r="B45" i="27"/>
  <c r="D48" i="27"/>
  <c r="B39" i="27"/>
  <c r="B48" i="27"/>
  <c r="D50" i="27" s="1"/>
  <c r="D39" i="27"/>
  <c r="B44" i="27"/>
  <c r="L33" i="27"/>
  <c r="B47" i="27"/>
  <c r="B50" i="27" s="1"/>
  <c r="B56" i="26"/>
  <c r="B55" i="26"/>
  <c r="B54" i="26"/>
  <c r="B53" i="26"/>
  <c r="B42" i="26"/>
  <c r="B37" i="26"/>
  <c r="B36" i="26"/>
  <c r="I33" i="26"/>
  <c r="H33" i="26"/>
  <c r="X31" i="26"/>
  <c r="W31" i="26"/>
  <c r="V31" i="26"/>
  <c r="U31" i="26"/>
  <c r="T31" i="26"/>
  <c r="S31" i="26"/>
  <c r="R31" i="26"/>
  <c r="Q31" i="26"/>
  <c r="P31" i="26"/>
  <c r="O31" i="26"/>
  <c r="N31" i="26"/>
  <c r="M31" i="26"/>
  <c r="L31" i="26"/>
  <c r="K31" i="26"/>
  <c r="J31" i="26"/>
  <c r="X30" i="26"/>
  <c r="W30" i="26"/>
  <c r="V30" i="26"/>
  <c r="U30" i="26"/>
  <c r="T30" i="26"/>
  <c r="S30" i="26"/>
  <c r="R30" i="26"/>
  <c r="Q30" i="26"/>
  <c r="P30" i="26"/>
  <c r="O30" i="26"/>
  <c r="N30" i="26"/>
  <c r="M30" i="26"/>
  <c r="L30" i="26"/>
  <c r="K30" i="26"/>
  <c r="J30" i="26"/>
  <c r="X29" i="26"/>
  <c r="W29" i="26"/>
  <c r="V29" i="26"/>
  <c r="U29" i="26"/>
  <c r="T29" i="26"/>
  <c r="S29" i="26"/>
  <c r="R29" i="26"/>
  <c r="Q29" i="26"/>
  <c r="P29" i="26"/>
  <c r="O29" i="26"/>
  <c r="N29" i="26"/>
  <c r="M29" i="26"/>
  <c r="L29" i="26"/>
  <c r="K29" i="26"/>
  <c r="J29" i="26"/>
  <c r="X28" i="26"/>
  <c r="W28" i="26"/>
  <c r="V28" i="26"/>
  <c r="U28" i="26"/>
  <c r="T28" i="26"/>
  <c r="S28" i="26"/>
  <c r="R28" i="26"/>
  <c r="Q28" i="26"/>
  <c r="P28" i="26"/>
  <c r="O28" i="26"/>
  <c r="N28" i="26"/>
  <c r="M28" i="26"/>
  <c r="L28" i="26"/>
  <c r="K28" i="26"/>
  <c r="J28" i="26"/>
  <c r="X27" i="26"/>
  <c r="W27" i="26"/>
  <c r="V27" i="26"/>
  <c r="U27" i="26"/>
  <c r="T27" i="26"/>
  <c r="S27" i="26"/>
  <c r="R27" i="26"/>
  <c r="Q27" i="26"/>
  <c r="P27" i="26"/>
  <c r="O27" i="26"/>
  <c r="N27" i="26"/>
  <c r="M27" i="26"/>
  <c r="L27" i="26"/>
  <c r="K27" i="26"/>
  <c r="J27" i="26"/>
  <c r="X26" i="26"/>
  <c r="W26" i="26"/>
  <c r="V26" i="26"/>
  <c r="U26" i="26"/>
  <c r="T26" i="26"/>
  <c r="S26" i="26"/>
  <c r="R26" i="26"/>
  <c r="Q26" i="26"/>
  <c r="P26" i="26"/>
  <c r="O26" i="26"/>
  <c r="N26" i="26"/>
  <c r="M26" i="26"/>
  <c r="L26" i="26"/>
  <c r="K26" i="26"/>
  <c r="J26" i="26"/>
  <c r="X25" i="26"/>
  <c r="W25" i="26"/>
  <c r="V25" i="26"/>
  <c r="U25" i="26"/>
  <c r="T25" i="26"/>
  <c r="S25" i="26"/>
  <c r="R25" i="26"/>
  <c r="Q25" i="26"/>
  <c r="P25" i="26"/>
  <c r="O25" i="26"/>
  <c r="N25" i="26"/>
  <c r="M25" i="26"/>
  <c r="L25" i="26"/>
  <c r="K25" i="26"/>
  <c r="J25" i="26"/>
  <c r="X24" i="26"/>
  <c r="W24" i="26"/>
  <c r="V24" i="26"/>
  <c r="U24" i="26"/>
  <c r="T24" i="26"/>
  <c r="S24" i="26"/>
  <c r="R24" i="26"/>
  <c r="Q24" i="26"/>
  <c r="P24" i="26"/>
  <c r="O24" i="26"/>
  <c r="N24" i="26"/>
  <c r="M24" i="26"/>
  <c r="L24" i="26"/>
  <c r="K24" i="26"/>
  <c r="J24" i="26"/>
  <c r="X23" i="26"/>
  <c r="W23" i="26"/>
  <c r="V23" i="26"/>
  <c r="U23" i="26"/>
  <c r="T23" i="26"/>
  <c r="S23" i="26"/>
  <c r="R23" i="26"/>
  <c r="Q23" i="26"/>
  <c r="P23" i="26"/>
  <c r="O23" i="26"/>
  <c r="N23" i="26"/>
  <c r="M23" i="26"/>
  <c r="L23" i="26"/>
  <c r="K23" i="26"/>
  <c r="J23" i="26"/>
  <c r="X22" i="26"/>
  <c r="W22" i="26"/>
  <c r="V22" i="26"/>
  <c r="U22" i="26"/>
  <c r="T22" i="26"/>
  <c r="S22" i="26"/>
  <c r="R22" i="26"/>
  <c r="Q22" i="26"/>
  <c r="P22" i="26"/>
  <c r="O22" i="26"/>
  <c r="N22" i="26"/>
  <c r="M22" i="26"/>
  <c r="L22" i="26"/>
  <c r="K22" i="26"/>
  <c r="J22" i="26"/>
  <c r="X21" i="26"/>
  <c r="W21" i="26"/>
  <c r="V21" i="26"/>
  <c r="U21" i="26"/>
  <c r="T21" i="26"/>
  <c r="S21" i="26"/>
  <c r="R21" i="26"/>
  <c r="Q21" i="26"/>
  <c r="P21" i="26"/>
  <c r="O21" i="26"/>
  <c r="N21" i="26"/>
  <c r="M21" i="26"/>
  <c r="L21" i="26"/>
  <c r="K21" i="26"/>
  <c r="J21" i="26"/>
  <c r="X20" i="26"/>
  <c r="W20" i="26"/>
  <c r="V20" i="26"/>
  <c r="U20" i="26"/>
  <c r="T20" i="26"/>
  <c r="S20" i="26"/>
  <c r="R20" i="26"/>
  <c r="Q20" i="26"/>
  <c r="P20" i="26"/>
  <c r="O20" i="26"/>
  <c r="N20" i="26"/>
  <c r="M20" i="26"/>
  <c r="L20" i="26"/>
  <c r="K20" i="26"/>
  <c r="J20" i="26"/>
  <c r="X19" i="26"/>
  <c r="W19" i="26"/>
  <c r="V19" i="26"/>
  <c r="U19" i="26"/>
  <c r="T19" i="26"/>
  <c r="S19" i="26"/>
  <c r="R19" i="26"/>
  <c r="Q19" i="26"/>
  <c r="P19" i="26"/>
  <c r="O19" i="26"/>
  <c r="N19" i="26"/>
  <c r="M19" i="26"/>
  <c r="L19" i="26"/>
  <c r="K19" i="26"/>
  <c r="J19" i="26"/>
  <c r="X18" i="26"/>
  <c r="W18" i="26"/>
  <c r="V18" i="26"/>
  <c r="U18" i="26"/>
  <c r="T18" i="26"/>
  <c r="S18" i="26"/>
  <c r="R18" i="26"/>
  <c r="Q18" i="26"/>
  <c r="P18" i="26"/>
  <c r="O18" i="26"/>
  <c r="N18" i="26"/>
  <c r="M18" i="26"/>
  <c r="L18" i="26"/>
  <c r="K18" i="26"/>
  <c r="J18" i="26"/>
  <c r="X17" i="26"/>
  <c r="W17" i="26"/>
  <c r="V17" i="26"/>
  <c r="U17" i="26"/>
  <c r="T17" i="26"/>
  <c r="S17" i="26"/>
  <c r="R17" i="26"/>
  <c r="Q17" i="26"/>
  <c r="P17" i="26"/>
  <c r="O17" i="26"/>
  <c r="N17" i="26"/>
  <c r="M17" i="26"/>
  <c r="L17" i="26"/>
  <c r="K17" i="26"/>
  <c r="J17" i="26"/>
  <c r="X16" i="26"/>
  <c r="W16" i="26"/>
  <c r="V16" i="26"/>
  <c r="U16" i="26"/>
  <c r="T16" i="26"/>
  <c r="S16" i="26"/>
  <c r="R16" i="26"/>
  <c r="Q16" i="26"/>
  <c r="P16" i="26"/>
  <c r="O16" i="26"/>
  <c r="N16" i="26"/>
  <c r="M16" i="26"/>
  <c r="L16" i="26"/>
  <c r="K16" i="26"/>
  <c r="J16" i="26"/>
  <c r="X15" i="26"/>
  <c r="W15" i="26"/>
  <c r="V15" i="26"/>
  <c r="U15" i="26"/>
  <c r="T15" i="26"/>
  <c r="S15" i="26"/>
  <c r="R15" i="26"/>
  <c r="Q15" i="26"/>
  <c r="P15" i="26"/>
  <c r="O15" i="26"/>
  <c r="N15" i="26"/>
  <c r="M15" i="26"/>
  <c r="L15" i="26"/>
  <c r="K15" i="26"/>
  <c r="J15" i="26"/>
  <c r="X14" i="26"/>
  <c r="W14" i="26"/>
  <c r="V14" i="26"/>
  <c r="U14" i="26"/>
  <c r="T14" i="26"/>
  <c r="S14" i="26"/>
  <c r="R14" i="26"/>
  <c r="Q14" i="26"/>
  <c r="P14" i="26"/>
  <c r="O14" i="26"/>
  <c r="N14" i="26"/>
  <c r="M14" i="26"/>
  <c r="L14" i="26"/>
  <c r="K14" i="26"/>
  <c r="J14" i="26"/>
  <c r="X13" i="26"/>
  <c r="W13" i="26"/>
  <c r="V13" i="26"/>
  <c r="U13" i="26"/>
  <c r="T13" i="26"/>
  <c r="S13" i="26"/>
  <c r="R13" i="26"/>
  <c r="Q13" i="26"/>
  <c r="P13" i="26"/>
  <c r="O13" i="26"/>
  <c r="N13" i="26"/>
  <c r="M13" i="26"/>
  <c r="L13" i="26"/>
  <c r="K13" i="26"/>
  <c r="J13" i="26"/>
  <c r="X12" i="26"/>
  <c r="W12" i="26"/>
  <c r="V12" i="26"/>
  <c r="U12" i="26"/>
  <c r="T12" i="26"/>
  <c r="S12" i="26"/>
  <c r="R12" i="26"/>
  <c r="Q12" i="26"/>
  <c r="P12" i="26"/>
  <c r="O12" i="26"/>
  <c r="N12" i="26"/>
  <c r="M12" i="26"/>
  <c r="L12" i="26"/>
  <c r="K12" i="26"/>
  <c r="J12" i="26"/>
  <c r="X11" i="26"/>
  <c r="W11" i="26"/>
  <c r="V11" i="26"/>
  <c r="U11" i="26"/>
  <c r="T11" i="26"/>
  <c r="S11" i="26"/>
  <c r="R11" i="26"/>
  <c r="Q11" i="26"/>
  <c r="P11" i="26"/>
  <c r="O11" i="26"/>
  <c r="N11" i="26"/>
  <c r="M11" i="26"/>
  <c r="L11" i="26"/>
  <c r="K11" i="26"/>
  <c r="J11" i="26"/>
  <c r="X10" i="26"/>
  <c r="W10" i="26"/>
  <c r="V10" i="26"/>
  <c r="U10" i="26"/>
  <c r="T10" i="26"/>
  <c r="S10" i="26"/>
  <c r="R10" i="26"/>
  <c r="Q10" i="26"/>
  <c r="P10" i="26"/>
  <c r="O10" i="26"/>
  <c r="N10" i="26"/>
  <c r="M10" i="26"/>
  <c r="L10" i="26"/>
  <c r="K10" i="26"/>
  <c r="J10" i="26"/>
  <c r="X9" i="26"/>
  <c r="W9" i="26"/>
  <c r="V9" i="26"/>
  <c r="U9" i="26"/>
  <c r="T9" i="26"/>
  <c r="S9" i="26"/>
  <c r="R9" i="26"/>
  <c r="Q9" i="26"/>
  <c r="P9" i="26"/>
  <c r="O9" i="26"/>
  <c r="N9" i="26"/>
  <c r="M9" i="26"/>
  <c r="L9" i="26"/>
  <c r="K9" i="26"/>
  <c r="J9" i="26"/>
  <c r="X8" i="26"/>
  <c r="W8" i="26"/>
  <c r="V8" i="26"/>
  <c r="U8" i="26"/>
  <c r="T8" i="26"/>
  <c r="S8" i="26"/>
  <c r="R8" i="26"/>
  <c r="Q8" i="26"/>
  <c r="P8" i="26"/>
  <c r="O8" i="26"/>
  <c r="N8" i="26"/>
  <c r="M8" i="26"/>
  <c r="L8" i="26"/>
  <c r="K8" i="26"/>
  <c r="J8" i="26"/>
  <c r="X7" i="26"/>
  <c r="W7" i="26"/>
  <c r="V7" i="26"/>
  <c r="U7" i="26"/>
  <c r="T7" i="26"/>
  <c r="S7" i="26"/>
  <c r="R7" i="26"/>
  <c r="Q7" i="26"/>
  <c r="P7" i="26"/>
  <c r="O7" i="26"/>
  <c r="N7" i="26"/>
  <c r="M7" i="26"/>
  <c r="L7" i="26"/>
  <c r="K7" i="26"/>
  <c r="J7" i="26"/>
  <c r="X6" i="26"/>
  <c r="W6" i="26"/>
  <c r="V6" i="26"/>
  <c r="U6" i="26"/>
  <c r="T6" i="26"/>
  <c r="S6" i="26"/>
  <c r="R6" i="26"/>
  <c r="Q6" i="26"/>
  <c r="P6" i="26"/>
  <c r="O6" i="26"/>
  <c r="N6" i="26"/>
  <c r="M6" i="26"/>
  <c r="L6" i="26"/>
  <c r="K6" i="26"/>
  <c r="J6" i="26"/>
  <c r="X5" i="26"/>
  <c r="W5" i="26"/>
  <c r="V5" i="26"/>
  <c r="U5" i="26"/>
  <c r="T5" i="26"/>
  <c r="S5" i="26"/>
  <c r="R5" i="26"/>
  <c r="Q5" i="26"/>
  <c r="P5" i="26"/>
  <c r="O5" i="26"/>
  <c r="N5" i="26"/>
  <c r="M5" i="26"/>
  <c r="L5" i="26"/>
  <c r="K5" i="26"/>
  <c r="J5" i="26"/>
  <c r="X4" i="26"/>
  <c r="W4" i="26"/>
  <c r="V4" i="26"/>
  <c r="U4" i="26"/>
  <c r="T4" i="26"/>
  <c r="S4" i="26"/>
  <c r="R4" i="26"/>
  <c r="Q4" i="26"/>
  <c r="P4" i="26"/>
  <c r="O4" i="26"/>
  <c r="N4" i="26"/>
  <c r="M4" i="26"/>
  <c r="L4" i="26"/>
  <c r="K4" i="26"/>
  <c r="J4" i="26"/>
  <c r="X3" i="26"/>
  <c r="W3" i="26"/>
  <c r="V3" i="26"/>
  <c r="U3" i="26"/>
  <c r="T3" i="26"/>
  <c r="S3" i="26"/>
  <c r="R3" i="26"/>
  <c r="Q3" i="26"/>
  <c r="P3" i="26"/>
  <c r="O3" i="26"/>
  <c r="N3" i="26"/>
  <c r="M3" i="26"/>
  <c r="L3" i="26"/>
  <c r="K3" i="26"/>
  <c r="J3" i="26"/>
  <c r="X2" i="26"/>
  <c r="W2" i="26"/>
  <c r="V2" i="26"/>
  <c r="U2" i="26"/>
  <c r="T2" i="26"/>
  <c r="S2" i="26"/>
  <c r="R2" i="26"/>
  <c r="Q2" i="26"/>
  <c r="P2" i="26"/>
  <c r="O2" i="26"/>
  <c r="N2" i="26"/>
  <c r="M2" i="26"/>
  <c r="L2" i="26"/>
  <c r="K2" i="26"/>
  <c r="J2" i="26"/>
  <c r="B56" i="25"/>
  <c r="B55" i="25"/>
  <c r="B54" i="25"/>
  <c r="B53" i="25"/>
  <c r="B42" i="25"/>
  <c r="B37" i="25"/>
  <c r="B36" i="25"/>
  <c r="I33" i="25"/>
  <c r="H33" i="25"/>
  <c r="X31" i="25"/>
  <c r="W31" i="25"/>
  <c r="V31" i="25"/>
  <c r="U31" i="25"/>
  <c r="T31" i="25"/>
  <c r="S31" i="25"/>
  <c r="R31" i="25"/>
  <c r="Q31" i="25"/>
  <c r="P31" i="25"/>
  <c r="O31" i="25"/>
  <c r="N31" i="25"/>
  <c r="M31" i="25"/>
  <c r="L31" i="25"/>
  <c r="K31" i="25"/>
  <c r="J31" i="25"/>
  <c r="X30" i="25"/>
  <c r="W30" i="25"/>
  <c r="V30" i="25"/>
  <c r="U30" i="25"/>
  <c r="T30" i="25"/>
  <c r="S30" i="25"/>
  <c r="R30" i="25"/>
  <c r="Q30" i="25"/>
  <c r="P30" i="25"/>
  <c r="O30" i="25"/>
  <c r="N30" i="25"/>
  <c r="M30" i="25"/>
  <c r="L30" i="25"/>
  <c r="K30" i="25"/>
  <c r="J30" i="25"/>
  <c r="X29" i="25"/>
  <c r="W29" i="25"/>
  <c r="V29" i="25"/>
  <c r="U29" i="25"/>
  <c r="T29" i="25"/>
  <c r="S29" i="25"/>
  <c r="R29" i="25"/>
  <c r="Q29" i="25"/>
  <c r="P29" i="25"/>
  <c r="O29" i="25"/>
  <c r="N29" i="25"/>
  <c r="M29" i="25"/>
  <c r="L29" i="25"/>
  <c r="K29" i="25"/>
  <c r="J29" i="25"/>
  <c r="X28" i="25"/>
  <c r="W28" i="25"/>
  <c r="V28" i="25"/>
  <c r="U28" i="25"/>
  <c r="T28" i="25"/>
  <c r="S28" i="25"/>
  <c r="R28" i="25"/>
  <c r="Q28" i="25"/>
  <c r="P28" i="25"/>
  <c r="O28" i="25"/>
  <c r="N28" i="25"/>
  <c r="M28" i="25"/>
  <c r="L28" i="25"/>
  <c r="K28" i="25"/>
  <c r="J28" i="25"/>
  <c r="X27" i="25"/>
  <c r="W27" i="25"/>
  <c r="V27" i="25"/>
  <c r="U27" i="25"/>
  <c r="T27" i="25"/>
  <c r="S27" i="25"/>
  <c r="R27" i="25"/>
  <c r="Q27" i="25"/>
  <c r="P27" i="25"/>
  <c r="O27" i="25"/>
  <c r="N27" i="25"/>
  <c r="M27" i="25"/>
  <c r="L27" i="25"/>
  <c r="K27" i="25"/>
  <c r="J27" i="25"/>
  <c r="X26" i="25"/>
  <c r="W26" i="25"/>
  <c r="V26" i="25"/>
  <c r="U26" i="25"/>
  <c r="T26" i="25"/>
  <c r="S26" i="25"/>
  <c r="R26" i="25"/>
  <c r="Q26" i="25"/>
  <c r="P26" i="25"/>
  <c r="O26" i="25"/>
  <c r="N26" i="25"/>
  <c r="M26" i="25"/>
  <c r="L26" i="25"/>
  <c r="K26" i="25"/>
  <c r="J26" i="25"/>
  <c r="X25" i="25"/>
  <c r="W25" i="25"/>
  <c r="V25" i="25"/>
  <c r="U25" i="25"/>
  <c r="T25" i="25"/>
  <c r="S25" i="25"/>
  <c r="R25" i="25"/>
  <c r="Q25" i="25"/>
  <c r="P25" i="25"/>
  <c r="O25" i="25"/>
  <c r="N25" i="25"/>
  <c r="M25" i="25"/>
  <c r="L25" i="25"/>
  <c r="K25" i="25"/>
  <c r="J25" i="25"/>
  <c r="X24" i="25"/>
  <c r="W24" i="25"/>
  <c r="V24" i="25"/>
  <c r="U24" i="25"/>
  <c r="T24" i="25"/>
  <c r="S24" i="25"/>
  <c r="R24" i="25"/>
  <c r="Q24" i="25"/>
  <c r="P24" i="25"/>
  <c r="O24" i="25"/>
  <c r="N24" i="25"/>
  <c r="M24" i="25"/>
  <c r="L24" i="25"/>
  <c r="K24" i="25"/>
  <c r="J24" i="25"/>
  <c r="X23" i="25"/>
  <c r="W23" i="25"/>
  <c r="V23" i="25"/>
  <c r="U23" i="25"/>
  <c r="T23" i="25"/>
  <c r="S23" i="25"/>
  <c r="R23" i="25"/>
  <c r="Q23" i="25"/>
  <c r="P23" i="25"/>
  <c r="O23" i="25"/>
  <c r="N23" i="25"/>
  <c r="M23" i="25"/>
  <c r="L23" i="25"/>
  <c r="K23" i="25"/>
  <c r="J23" i="25"/>
  <c r="X22" i="25"/>
  <c r="W22" i="25"/>
  <c r="V22" i="25"/>
  <c r="U22" i="25"/>
  <c r="T22" i="25"/>
  <c r="S22" i="25"/>
  <c r="R22" i="25"/>
  <c r="Q22" i="25"/>
  <c r="P22" i="25"/>
  <c r="O22" i="25"/>
  <c r="N22" i="25"/>
  <c r="M22" i="25"/>
  <c r="L22" i="25"/>
  <c r="K22" i="25"/>
  <c r="J22" i="25"/>
  <c r="X21" i="25"/>
  <c r="W21" i="25"/>
  <c r="V21" i="25"/>
  <c r="U21" i="25"/>
  <c r="T21" i="25"/>
  <c r="S21" i="25"/>
  <c r="R21" i="25"/>
  <c r="Q21" i="25"/>
  <c r="P21" i="25"/>
  <c r="O21" i="25"/>
  <c r="N21" i="25"/>
  <c r="M21" i="25"/>
  <c r="L21" i="25"/>
  <c r="K21" i="25"/>
  <c r="J21" i="25"/>
  <c r="X20" i="25"/>
  <c r="W20" i="25"/>
  <c r="V20" i="25"/>
  <c r="U20" i="25"/>
  <c r="T20" i="25"/>
  <c r="S20" i="25"/>
  <c r="R20" i="25"/>
  <c r="Q20" i="25"/>
  <c r="P20" i="25"/>
  <c r="O20" i="25"/>
  <c r="N20" i="25"/>
  <c r="M20" i="25"/>
  <c r="L20" i="25"/>
  <c r="K20" i="25"/>
  <c r="J20" i="25"/>
  <c r="X19" i="25"/>
  <c r="W19" i="25"/>
  <c r="V19" i="25"/>
  <c r="U19" i="25"/>
  <c r="T19" i="25"/>
  <c r="S19" i="25"/>
  <c r="R19" i="25"/>
  <c r="Q19" i="25"/>
  <c r="P19" i="25"/>
  <c r="O19" i="25"/>
  <c r="N19" i="25"/>
  <c r="M19" i="25"/>
  <c r="L19" i="25"/>
  <c r="K19" i="25"/>
  <c r="J19" i="25"/>
  <c r="X18" i="25"/>
  <c r="W18" i="25"/>
  <c r="V18" i="25"/>
  <c r="U18" i="25"/>
  <c r="T18" i="25"/>
  <c r="S18" i="25"/>
  <c r="R18" i="25"/>
  <c r="Q18" i="25"/>
  <c r="P18" i="25"/>
  <c r="O18" i="25"/>
  <c r="N18" i="25"/>
  <c r="M18" i="25"/>
  <c r="L18" i="25"/>
  <c r="K18" i="25"/>
  <c r="J18" i="25"/>
  <c r="X17" i="25"/>
  <c r="W17" i="25"/>
  <c r="V17" i="25"/>
  <c r="U17" i="25"/>
  <c r="T17" i="25"/>
  <c r="S17" i="25"/>
  <c r="R17" i="25"/>
  <c r="Q17" i="25"/>
  <c r="P17" i="25"/>
  <c r="O17" i="25"/>
  <c r="N17" i="25"/>
  <c r="M17" i="25"/>
  <c r="L17" i="25"/>
  <c r="K17" i="25"/>
  <c r="J17" i="25"/>
  <c r="X16" i="25"/>
  <c r="W16" i="25"/>
  <c r="V16" i="25"/>
  <c r="U16" i="25"/>
  <c r="T16" i="25"/>
  <c r="S16" i="25"/>
  <c r="R16" i="25"/>
  <c r="Q16" i="25"/>
  <c r="P16" i="25"/>
  <c r="O16" i="25"/>
  <c r="N16" i="25"/>
  <c r="M16" i="25"/>
  <c r="L16" i="25"/>
  <c r="K16" i="25"/>
  <c r="J16" i="25"/>
  <c r="X15" i="25"/>
  <c r="W15" i="25"/>
  <c r="V15" i="25"/>
  <c r="U15" i="25"/>
  <c r="T15" i="25"/>
  <c r="S15" i="25"/>
  <c r="R15" i="25"/>
  <c r="Q15" i="25"/>
  <c r="P15" i="25"/>
  <c r="O15" i="25"/>
  <c r="N15" i="25"/>
  <c r="M15" i="25"/>
  <c r="L15" i="25"/>
  <c r="K15" i="25"/>
  <c r="J15" i="25"/>
  <c r="X14" i="25"/>
  <c r="W14" i="25"/>
  <c r="V14" i="25"/>
  <c r="U14" i="25"/>
  <c r="T14" i="25"/>
  <c r="S14" i="25"/>
  <c r="R14" i="25"/>
  <c r="Q14" i="25"/>
  <c r="P14" i="25"/>
  <c r="O14" i="25"/>
  <c r="N14" i="25"/>
  <c r="M14" i="25"/>
  <c r="L14" i="25"/>
  <c r="K14" i="25"/>
  <c r="J14" i="25"/>
  <c r="X13" i="25"/>
  <c r="W13" i="25"/>
  <c r="V13" i="25"/>
  <c r="U13" i="25"/>
  <c r="T13" i="25"/>
  <c r="S13" i="25"/>
  <c r="R13" i="25"/>
  <c r="Q13" i="25"/>
  <c r="P13" i="25"/>
  <c r="O13" i="25"/>
  <c r="N13" i="25"/>
  <c r="M13" i="25"/>
  <c r="L13" i="25"/>
  <c r="K13" i="25"/>
  <c r="J13" i="25"/>
  <c r="X12" i="25"/>
  <c r="W12" i="25"/>
  <c r="V12" i="25"/>
  <c r="U12" i="25"/>
  <c r="T12" i="25"/>
  <c r="S12" i="25"/>
  <c r="R12" i="25"/>
  <c r="Q12" i="25"/>
  <c r="P12" i="25"/>
  <c r="O12" i="25"/>
  <c r="N12" i="25"/>
  <c r="M12" i="25"/>
  <c r="L12" i="25"/>
  <c r="K12" i="25"/>
  <c r="J12" i="25"/>
  <c r="X11" i="25"/>
  <c r="W11" i="25"/>
  <c r="V11" i="25"/>
  <c r="U11" i="25"/>
  <c r="T11" i="25"/>
  <c r="S11" i="25"/>
  <c r="R11" i="25"/>
  <c r="Q11" i="25"/>
  <c r="P11" i="25"/>
  <c r="O11" i="25"/>
  <c r="N11" i="25"/>
  <c r="M11" i="25"/>
  <c r="L11" i="25"/>
  <c r="K11" i="25"/>
  <c r="J11" i="25"/>
  <c r="X10" i="25"/>
  <c r="W10" i="25"/>
  <c r="V10" i="25"/>
  <c r="U10" i="25"/>
  <c r="T10" i="25"/>
  <c r="S10" i="25"/>
  <c r="R10" i="25"/>
  <c r="Q10" i="25"/>
  <c r="P10" i="25"/>
  <c r="O10" i="25"/>
  <c r="N10" i="25"/>
  <c r="M10" i="25"/>
  <c r="L10" i="25"/>
  <c r="K10" i="25"/>
  <c r="J10" i="25"/>
  <c r="X9" i="25"/>
  <c r="W9" i="25"/>
  <c r="V9" i="25"/>
  <c r="U9" i="25"/>
  <c r="T9" i="25"/>
  <c r="S9" i="25"/>
  <c r="R9" i="25"/>
  <c r="Q9" i="25"/>
  <c r="P9" i="25"/>
  <c r="O9" i="25"/>
  <c r="N9" i="25"/>
  <c r="M9" i="25"/>
  <c r="L9" i="25"/>
  <c r="K9" i="25"/>
  <c r="J9" i="25"/>
  <c r="X8" i="25"/>
  <c r="W8" i="25"/>
  <c r="V8" i="25"/>
  <c r="U8" i="25"/>
  <c r="T8" i="25"/>
  <c r="S8" i="25"/>
  <c r="R8" i="25"/>
  <c r="Q8" i="25"/>
  <c r="P8" i="25"/>
  <c r="O8" i="25"/>
  <c r="N8" i="25"/>
  <c r="M8" i="25"/>
  <c r="L8" i="25"/>
  <c r="K8" i="25"/>
  <c r="J8" i="25"/>
  <c r="X7" i="25"/>
  <c r="W7" i="25"/>
  <c r="V7" i="25"/>
  <c r="U7" i="25"/>
  <c r="T7" i="25"/>
  <c r="S7" i="25"/>
  <c r="R7" i="25"/>
  <c r="Q7" i="25"/>
  <c r="P7" i="25"/>
  <c r="O7" i="25"/>
  <c r="N7" i="25"/>
  <c r="M7" i="25"/>
  <c r="L7" i="25"/>
  <c r="K7" i="25"/>
  <c r="J7" i="25"/>
  <c r="X6" i="25"/>
  <c r="W6" i="25"/>
  <c r="V6" i="25"/>
  <c r="U6" i="25"/>
  <c r="T6" i="25"/>
  <c r="S6" i="25"/>
  <c r="R6" i="25"/>
  <c r="Q6" i="25"/>
  <c r="P6" i="25"/>
  <c r="O6" i="25"/>
  <c r="N6" i="25"/>
  <c r="M6" i="25"/>
  <c r="L6" i="25"/>
  <c r="K6" i="25"/>
  <c r="J6" i="25"/>
  <c r="X5" i="25"/>
  <c r="W5" i="25"/>
  <c r="V5" i="25"/>
  <c r="U5" i="25"/>
  <c r="T5" i="25"/>
  <c r="S5" i="25"/>
  <c r="R5" i="25"/>
  <c r="Q5" i="25"/>
  <c r="P5" i="25"/>
  <c r="O5" i="25"/>
  <c r="N5" i="25"/>
  <c r="M5" i="25"/>
  <c r="L5" i="25"/>
  <c r="K5" i="25"/>
  <c r="J5" i="25"/>
  <c r="X4" i="25"/>
  <c r="W4" i="25"/>
  <c r="V4" i="25"/>
  <c r="U4" i="25"/>
  <c r="T4" i="25"/>
  <c r="S4" i="25"/>
  <c r="R4" i="25"/>
  <c r="Q4" i="25"/>
  <c r="P4" i="25"/>
  <c r="O4" i="25"/>
  <c r="N4" i="25"/>
  <c r="M4" i="25"/>
  <c r="L4" i="25"/>
  <c r="K4" i="25"/>
  <c r="J4" i="25"/>
  <c r="X3" i="25"/>
  <c r="W3" i="25"/>
  <c r="V3" i="25"/>
  <c r="U3" i="25"/>
  <c r="T3" i="25"/>
  <c r="S3" i="25"/>
  <c r="R3" i="25"/>
  <c r="Q3" i="25"/>
  <c r="P3" i="25"/>
  <c r="O3" i="25"/>
  <c r="N3" i="25"/>
  <c r="M3" i="25"/>
  <c r="L3" i="25"/>
  <c r="K3" i="25"/>
  <c r="J3" i="25"/>
  <c r="X2" i="25"/>
  <c r="W2" i="25"/>
  <c r="V2" i="25"/>
  <c r="U2" i="25"/>
  <c r="T2" i="25"/>
  <c r="S2" i="25"/>
  <c r="R2" i="25"/>
  <c r="Q2" i="25"/>
  <c r="P2" i="25"/>
  <c r="O2" i="25"/>
  <c r="N2" i="25"/>
  <c r="M2" i="25"/>
  <c r="L2" i="25"/>
  <c r="K2" i="25"/>
  <c r="J2" i="25"/>
  <c r="B56" i="24"/>
  <c r="B55" i="24"/>
  <c r="B54" i="24"/>
  <c r="B53" i="24"/>
  <c r="B42" i="24"/>
  <c r="B37" i="24"/>
  <c r="B36" i="24"/>
  <c r="I33" i="24"/>
  <c r="H33" i="24"/>
  <c r="X31" i="24"/>
  <c r="W31" i="24"/>
  <c r="V31" i="24"/>
  <c r="U31" i="24"/>
  <c r="T31" i="24"/>
  <c r="S31" i="24"/>
  <c r="R31" i="24"/>
  <c r="Q31" i="24"/>
  <c r="P31" i="24"/>
  <c r="O31" i="24"/>
  <c r="N31" i="24"/>
  <c r="M31" i="24"/>
  <c r="L31" i="24"/>
  <c r="K31" i="24"/>
  <c r="J31" i="24"/>
  <c r="X30" i="24"/>
  <c r="W30" i="24"/>
  <c r="V30" i="24"/>
  <c r="U30" i="24"/>
  <c r="T30" i="24"/>
  <c r="S30" i="24"/>
  <c r="R30" i="24"/>
  <c r="Q30" i="24"/>
  <c r="P30" i="24"/>
  <c r="O30" i="24"/>
  <c r="N30" i="24"/>
  <c r="M30" i="24"/>
  <c r="L30" i="24"/>
  <c r="K30" i="24"/>
  <c r="J30" i="24"/>
  <c r="X29" i="24"/>
  <c r="W29" i="24"/>
  <c r="V29" i="24"/>
  <c r="U29" i="24"/>
  <c r="T29" i="24"/>
  <c r="S29" i="24"/>
  <c r="R29" i="24"/>
  <c r="Q29" i="24"/>
  <c r="P29" i="24"/>
  <c r="O29" i="24"/>
  <c r="N29" i="24"/>
  <c r="M29" i="24"/>
  <c r="L29" i="24"/>
  <c r="K29" i="24"/>
  <c r="J29" i="24"/>
  <c r="X28" i="24"/>
  <c r="W28" i="24"/>
  <c r="V28" i="24"/>
  <c r="U28" i="24"/>
  <c r="T28" i="24"/>
  <c r="S28" i="24"/>
  <c r="R28" i="24"/>
  <c r="Q28" i="24"/>
  <c r="P28" i="24"/>
  <c r="O28" i="24"/>
  <c r="N28" i="24"/>
  <c r="M28" i="24"/>
  <c r="L28" i="24"/>
  <c r="K28" i="24"/>
  <c r="J28" i="24"/>
  <c r="X27" i="24"/>
  <c r="W27" i="24"/>
  <c r="V27" i="24"/>
  <c r="U27" i="24"/>
  <c r="T27" i="24"/>
  <c r="S27" i="24"/>
  <c r="R27" i="24"/>
  <c r="Q27" i="24"/>
  <c r="P27" i="24"/>
  <c r="O27" i="24"/>
  <c r="N27" i="24"/>
  <c r="M27" i="24"/>
  <c r="L27" i="24"/>
  <c r="K27" i="24"/>
  <c r="J27" i="24"/>
  <c r="X26" i="24"/>
  <c r="W26" i="24"/>
  <c r="V26" i="24"/>
  <c r="U26" i="24"/>
  <c r="T26" i="24"/>
  <c r="S26" i="24"/>
  <c r="R26" i="24"/>
  <c r="Q26" i="24"/>
  <c r="P26" i="24"/>
  <c r="O26" i="24"/>
  <c r="N26" i="24"/>
  <c r="M26" i="24"/>
  <c r="L26" i="24"/>
  <c r="K26" i="24"/>
  <c r="J26" i="24"/>
  <c r="X25" i="24"/>
  <c r="W25" i="24"/>
  <c r="V25" i="24"/>
  <c r="U25" i="24"/>
  <c r="T25" i="24"/>
  <c r="S25" i="24"/>
  <c r="R25" i="24"/>
  <c r="Q25" i="24"/>
  <c r="P25" i="24"/>
  <c r="O25" i="24"/>
  <c r="N25" i="24"/>
  <c r="M25" i="24"/>
  <c r="L25" i="24"/>
  <c r="K25" i="24"/>
  <c r="J25" i="24"/>
  <c r="X24" i="24"/>
  <c r="W24" i="24"/>
  <c r="V24" i="24"/>
  <c r="U24" i="24"/>
  <c r="T24" i="24"/>
  <c r="S24" i="24"/>
  <c r="R24" i="24"/>
  <c r="Q24" i="24"/>
  <c r="P24" i="24"/>
  <c r="O24" i="24"/>
  <c r="N24" i="24"/>
  <c r="M24" i="24"/>
  <c r="L24" i="24"/>
  <c r="K24" i="24"/>
  <c r="J24" i="24"/>
  <c r="X23" i="24"/>
  <c r="W23" i="24"/>
  <c r="V23" i="24"/>
  <c r="U23" i="24"/>
  <c r="T23" i="24"/>
  <c r="S23" i="24"/>
  <c r="R23" i="24"/>
  <c r="Q23" i="24"/>
  <c r="P23" i="24"/>
  <c r="O23" i="24"/>
  <c r="N23" i="24"/>
  <c r="M23" i="24"/>
  <c r="L23" i="24"/>
  <c r="K23" i="24"/>
  <c r="J23" i="24"/>
  <c r="X22" i="24"/>
  <c r="W22" i="24"/>
  <c r="V22" i="24"/>
  <c r="U22" i="24"/>
  <c r="T22" i="24"/>
  <c r="S22" i="24"/>
  <c r="R22" i="24"/>
  <c r="Q22" i="24"/>
  <c r="P22" i="24"/>
  <c r="O22" i="24"/>
  <c r="N22" i="24"/>
  <c r="M22" i="24"/>
  <c r="L22" i="24"/>
  <c r="K22" i="24"/>
  <c r="J22" i="24"/>
  <c r="X21" i="24"/>
  <c r="W21" i="24"/>
  <c r="V21" i="24"/>
  <c r="U21" i="24"/>
  <c r="T21" i="24"/>
  <c r="S21" i="24"/>
  <c r="R21" i="24"/>
  <c r="Q21" i="24"/>
  <c r="P21" i="24"/>
  <c r="O21" i="24"/>
  <c r="N21" i="24"/>
  <c r="M21" i="24"/>
  <c r="L21" i="24"/>
  <c r="K21" i="24"/>
  <c r="J21" i="24"/>
  <c r="X20" i="24"/>
  <c r="W20" i="24"/>
  <c r="V20" i="24"/>
  <c r="U20" i="24"/>
  <c r="T20" i="24"/>
  <c r="S20" i="24"/>
  <c r="R20" i="24"/>
  <c r="Q20" i="24"/>
  <c r="P20" i="24"/>
  <c r="O20" i="24"/>
  <c r="N20" i="24"/>
  <c r="M20" i="24"/>
  <c r="L20" i="24"/>
  <c r="K20" i="24"/>
  <c r="J20" i="24"/>
  <c r="X19" i="24"/>
  <c r="W19" i="24"/>
  <c r="V19" i="24"/>
  <c r="U19" i="24"/>
  <c r="T19" i="24"/>
  <c r="S19" i="24"/>
  <c r="R19" i="24"/>
  <c r="Q19" i="24"/>
  <c r="P19" i="24"/>
  <c r="O19" i="24"/>
  <c r="N19" i="24"/>
  <c r="M19" i="24"/>
  <c r="L19" i="24"/>
  <c r="K19" i="24"/>
  <c r="J19" i="24"/>
  <c r="X18" i="24"/>
  <c r="W18" i="24"/>
  <c r="V18" i="24"/>
  <c r="U18" i="24"/>
  <c r="T18" i="24"/>
  <c r="S18" i="24"/>
  <c r="R18" i="24"/>
  <c r="Q18" i="24"/>
  <c r="P18" i="24"/>
  <c r="O18" i="24"/>
  <c r="N18" i="24"/>
  <c r="M18" i="24"/>
  <c r="L18" i="24"/>
  <c r="K18" i="24"/>
  <c r="J18" i="24"/>
  <c r="X17" i="24"/>
  <c r="W17" i="24"/>
  <c r="V17" i="24"/>
  <c r="U17" i="24"/>
  <c r="T17" i="24"/>
  <c r="S17" i="24"/>
  <c r="R17" i="24"/>
  <c r="Q17" i="24"/>
  <c r="P17" i="24"/>
  <c r="O17" i="24"/>
  <c r="N17" i="24"/>
  <c r="M17" i="24"/>
  <c r="L17" i="24"/>
  <c r="K17" i="24"/>
  <c r="J17" i="24"/>
  <c r="X16" i="24"/>
  <c r="W16" i="24"/>
  <c r="V16" i="24"/>
  <c r="U16" i="24"/>
  <c r="T16" i="24"/>
  <c r="S16" i="24"/>
  <c r="R16" i="24"/>
  <c r="Q16" i="24"/>
  <c r="P16" i="24"/>
  <c r="O16" i="24"/>
  <c r="N16" i="24"/>
  <c r="M16" i="24"/>
  <c r="L16" i="24"/>
  <c r="K16" i="24"/>
  <c r="J16" i="24"/>
  <c r="X15" i="24"/>
  <c r="W15" i="24"/>
  <c r="V15" i="24"/>
  <c r="U15" i="24"/>
  <c r="T15" i="24"/>
  <c r="S15" i="24"/>
  <c r="R15" i="24"/>
  <c r="Q15" i="24"/>
  <c r="P15" i="24"/>
  <c r="O15" i="24"/>
  <c r="N15" i="24"/>
  <c r="M15" i="24"/>
  <c r="L15" i="24"/>
  <c r="K15" i="24"/>
  <c r="J15" i="24"/>
  <c r="X14" i="24"/>
  <c r="W14" i="24"/>
  <c r="V14" i="24"/>
  <c r="U14" i="24"/>
  <c r="T14" i="24"/>
  <c r="S14" i="24"/>
  <c r="R14" i="24"/>
  <c r="Q14" i="24"/>
  <c r="P14" i="24"/>
  <c r="O14" i="24"/>
  <c r="N14" i="24"/>
  <c r="M14" i="24"/>
  <c r="L14" i="24"/>
  <c r="K14" i="24"/>
  <c r="J14" i="24"/>
  <c r="X13" i="24"/>
  <c r="W13" i="24"/>
  <c r="V13" i="24"/>
  <c r="U13" i="24"/>
  <c r="T13" i="24"/>
  <c r="S13" i="24"/>
  <c r="R13" i="24"/>
  <c r="Q13" i="24"/>
  <c r="P13" i="24"/>
  <c r="O13" i="24"/>
  <c r="N13" i="24"/>
  <c r="M13" i="24"/>
  <c r="L13" i="24"/>
  <c r="K13" i="24"/>
  <c r="J13" i="24"/>
  <c r="X12" i="24"/>
  <c r="W12" i="24"/>
  <c r="V12" i="24"/>
  <c r="U12" i="24"/>
  <c r="T12" i="24"/>
  <c r="S12" i="24"/>
  <c r="R12" i="24"/>
  <c r="Q12" i="24"/>
  <c r="P12" i="24"/>
  <c r="O12" i="24"/>
  <c r="N12" i="24"/>
  <c r="M12" i="24"/>
  <c r="L12" i="24"/>
  <c r="K12" i="24"/>
  <c r="J12" i="24"/>
  <c r="X11" i="24"/>
  <c r="W11" i="24"/>
  <c r="V11" i="24"/>
  <c r="U11" i="24"/>
  <c r="T11" i="24"/>
  <c r="S11" i="24"/>
  <c r="R11" i="24"/>
  <c r="Q11" i="24"/>
  <c r="P11" i="24"/>
  <c r="O11" i="24"/>
  <c r="N11" i="24"/>
  <c r="M11" i="24"/>
  <c r="L11" i="24"/>
  <c r="K11" i="24"/>
  <c r="J11" i="24"/>
  <c r="X10" i="24"/>
  <c r="W10" i="24"/>
  <c r="V10" i="24"/>
  <c r="U10" i="24"/>
  <c r="T10" i="24"/>
  <c r="S10" i="24"/>
  <c r="R10" i="24"/>
  <c r="Q10" i="24"/>
  <c r="P10" i="24"/>
  <c r="O10" i="24"/>
  <c r="N10" i="24"/>
  <c r="M10" i="24"/>
  <c r="L10" i="24"/>
  <c r="K10" i="24"/>
  <c r="J10" i="24"/>
  <c r="X9" i="24"/>
  <c r="W9" i="24"/>
  <c r="V9" i="24"/>
  <c r="U9" i="24"/>
  <c r="T9" i="24"/>
  <c r="S9" i="24"/>
  <c r="R9" i="24"/>
  <c r="Q9" i="24"/>
  <c r="P9" i="24"/>
  <c r="O9" i="24"/>
  <c r="N9" i="24"/>
  <c r="M9" i="24"/>
  <c r="L9" i="24"/>
  <c r="K9" i="24"/>
  <c r="J9" i="24"/>
  <c r="X8" i="24"/>
  <c r="W8" i="24"/>
  <c r="V8" i="24"/>
  <c r="U8" i="24"/>
  <c r="T8" i="24"/>
  <c r="S8" i="24"/>
  <c r="R8" i="24"/>
  <c r="Q8" i="24"/>
  <c r="P8" i="24"/>
  <c r="O8" i="24"/>
  <c r="N8" i="24"/>
  <c r="M8" i="24"/>
  <c r="L8" i="24"/>
  <c r="K8" i="24"/>
  <c r="J8" i="24"/>
  <c r="X7" i="24"/>
  <c r="W7" i="24"/>
  <c r="V7" i="24"/>
  <c r="U7" i="24"/>
  <c r="T7" i="24"/>
  <c r="S7" i="24"/>
  <c r="R7" i="24"/>
  <c r="Q7" i="24"/>
  <c r="P7" i="24"/>
  <c r="O7" i="24"/>
  <c r="N7" i="24"/>
  <c r="M7" i="24"/>
  <c r="L7" i="24"/>
  <c r="K7" i="24"/>
  <c r="J7" i="24"/>
  <c r="X6" i="24"/>
  <c r="W6" i="24"/>
  <c r="V6" i="24"/>
  <c r="U6" i="24"/>
  <c r="T6" i="24"/>
  <c r="S6" i="24"/>
  <c r="R6" i="24"/>
  <c r="Q6" i="24"/>
  <c r="P6" i="24"/>
  <c r="O6" i="24"/>
  <c r="N6" i="24"/>
  <c r="M6" i="24"/>
  <c r="L6" i="24"/>
  <c r="K6" i="24"/>
  <c r="J6" i="24"/>
  <c r="X5" i="24"/>
  <c r="W5" i="24"/>
  <c r="V5" i="24"/>
  <c r="U5" i="24"/>
  <c r="T5" i="24"/>
  <c r="S5" i="24"/>
  <c r="R5" i="24"/>
  <c r="Q5" i="24"/>
  <c r="P5" i="24"/>
  <c r="O5" i="24"/>
  <c r="N5" i="24"/>
  <c r="M5" i="24"/>
  <c r="L5" i="24"/>
  <c r="K5" i="24"/>
  <c r="J5" i="24"/>
  <c r="X4" i="24"/>
  <c r="W4" i="24"/>
  <c r="V4" i="24"/>
  <c r="U4" i="24"/>
  <c r="T4" i="24"/>
  <c r="S4" i="24"/>
  <c r="R4" i="24"/>
  <c r="Q4" i="24"/>
  <c r="P4" i="24"/>
  <c r="O4" i="24"/>
  <c r="N4" i="24"/>
  <c r="M4" i="24"/>
  <c r="L4" i="24"/>
  <c r="K4" i="24"/>
  <c r="J4" i="24"/>
  <c r="X3" i="24"/>
  <c r="W3" i="24"/>
  <c r="V3" i="24"/>
  <c r="U3" i="24"/>
  <c r="T3" i="24"/>
  <c r="S3" i="24"/>
  <c r="R3" i="24"/>
  <c r="Q3" i="24"/>
  <c r="P3" i="24"/>
  <c r="O3" i="24"/>
  <c r="N3" i="24"/>
  <c r="M3" i="24"/>
  <c r="L3" i="24"/>
  <c r="K3" i="24"/>
  <c r="J3" i="24"/>
  <c r="X2" i="24"/>
  <c r="W2" i="24"/>
  <c r="V2" i="24"/>
  <c r="U2" i="24"/>
  <c r="T2" i="24"/>
  <c r="S2" i="24"/>
  <c r="R2" i="24"/>
  <c r="Q2" i="24"/>
  <c r="P2" i="24"/>
  <c r="O2" i="24"/>
  <c r="N2" i="24"/>
  <c r="M2" i="24"/>
  <c r="L2" i="24"/>
  <c r="K2" i="24"/>
  <c r="J2" i="24"/>
  <c r="D39" i="24" l="1"/>
  <c r="B47" i="26"/>
  <c r="B50" i="26" s="1"/>
  <c r="B44" i="26"/>
  <c r="B48" i="26"/>
  <c r="D50" i="26" s="1"/>
  <c r="D47" i="26"/>
  <c r="D39" i="26"/>
  <c r="K33" i="26"/>
  <c r="L33" i="26"/>
  <c r="D48" i="26"/>
  <c r="B39" i="26"/>
  <c r="B45" i="26"/>
  <c r="D39" i="25"/>
  <c r="D47" i="25"/>
  <c r="L33" i="25"/>
  <c r="D48" i="25"/>
  <c r="B47" i="25"/>
  <c r="B50" i="25" s="1"/>
  <c r="B44" i="25"/>
  <c r="B48" i="25"/>
  <c r="D50" i="25" s="1"/>
  <c r="K33" i="25"/>
  <c r="B39" i="25"/>
  <c r="B45" i="25"/>
  <c r="B39" i="24"/>
  <c r="D47" i="24"/>
  <c r="L33" i="24"/>
  <c r="D48" i="24"/>
  <c r="B44" i="24"/>
  <c r="B47" i="24"/>
  <c r="B50" i="24" s="1"/>
  <c r="K33" i="24"/>
  <c r="B48" i="24"/>
  <c r="D50" i="24" s="1"/>
  <c r="B45" i="24"/>
  <c r="B56" i="3"/>
  <c r="B55" i="3"/>
  <c r="B54" i="3"/>
  <c r="B53" i="3"/>
  <c r="M2" i="3"/>
  <c r="L2" i="3"/>
  <c r="B37" i="3"/>
  <c r="B36" i="3"/>
  <c r="W2" i="3"/>
  <c r="V2" i="3"/>
  <c r="U2" i="3"/>
  <c r="Q2" i="3"/>
  <c r="D39" i="3" l="1"/>
  <c r="B39" i="3"/>
  <c r="D3" i="14"/>
  <c r="E3" i="14"/>
  <c r="D4" i="14"/>
  <c r="E4" i="14"/>
  <c r="D5" i="14"/>
  <c r="E5" i="14"/>
  <c r="D6" i="14"/>
  <c r="E6" i="14"/>
  <c r="D7" i="14"/>
  <c r="E7" i="14"/>
  <c r="D8" i="14"/>
  <c r="E8" i="14"/>
  <c r="D9" i="14"/>
  <c r="E9" i="14"/>
  <c r="D10" i="14"/>
  <c r="E10" i="14"/>
  <c r="D11" i="14"/>
  <c r="E11" i="14"/>
  <c r="E2" i="14"/>
  <c r="D2" i="14"/>
  <c r="B42" i="23" l="1"/>
  <c r="B37" i="23"/>
  <c r="B36" i="23"/>
  <c r="I33" i="23"/>
  <c r="H33" i="23"/>
  <c r="X24" i="23"/>
  <c r="W24" i="23"/>
  <c r="V24" i="23"/>
  <c r="U24" i="23"/>
  <c r="T24" i="23"/>
  <c r="S24" i="23"/>
  <c r="R24" i="23"/>
  <c r="Q24" i="23"/>
  <c r="P24" i="23"/>
  <c r="O24" i="23"/>
  <c r="N24" i="23"/>
  <c r="M24" i="23"/>
  <c r="L24" i="23"/>
  <c r="K24" i="23"/>
  <c r="J24" i="23"/>
  <c r="X9" i="23"/>
  <c r="W9" i="23"/>
  <c r="V9" i="23"/>
  <c r="U9" i="23"/>
  <c r="T9" i="23"/>
  <c r="S9" i="23"/>
  <c r="R9" i="23"/>
  <c r="Q9" i="23"/>
  <c r="P9" i="23"/>
  <c r="O9" i="23"/>
  <c r="N9" i="23"/>
  <c r="M9" i="23"/>
  <c r="L9" i="23"/>
  <c r="K9" i="23"/>
  <c r="J9" i="23"/>
  <c r="X31" i="23"/>
  <c r="W31" i="23"/>
  <c r="V31" i="23"/>
  <c r="U31" i="23"/>
  <c r="T31" i="23"/>
  <c r="S31" i="23"/>
  <c r="R31" i="23"/>
  <c r="Q31" i="23"/>
  <c r="P31" i="23"/>
  <c r="O31" i="23"/>
  <c r="N31" i="23"/>
  <c r="M31" i="23"/>
  <c r="L31" i="23"/>
  <c r="K31" i="23"/>
  <c r="J31" i="23"/>
  <c r="X17" i="23"/>
  <c r="W17" i="23"/>
  <c r="V17" i="23"/>
  <c r="U17" i="23"/>
  <c r="T17" i="23"/>
  <c r="S17" i="23"/>
  <c r="R17" i="23"/>
  <c r="Q17" i="23"/>
  <c r="P17" i="23"/>
  <c r="O17" i="23"/>
  <c r="N17" i="23"/>
  <c r="M17" i="23"/>
  <c r="L17" i="23"/>
  <c r="K17" i="23"/>
  <c r="J17" i="23"/>
  <c r="X16" i="23"/>
  <c r="W16" i="23"/>
  <c r="V16" i="23"/>
  <c r="U16" i="23"/>
  <c r="T16" i="23"/>
  <c r="S16" i="23"/>
  <c r="R16" i="23"/>
  <c r="Q16" i="23"/>
  <c r="P16" i="23"/>
  <c r="O16" i="23"/>
  <c r="N16" i="23"/>
  <c r="M16" i="23"/>
  <c r="L16" i="23"/>
  <c r="K16" i="23"/>
  <c r="J16" i="23"/>
  <c r="X23" i="23"/>
  <c r="W23" i="23"/>
  <c r="V23" i="23"/>
  <c r="U23" i="23"/>
  <c r="T23" i="23"/>
  <c r="S23" i="23"/>
  <c r="R23" i="23"/>
  <c r="Q23" i="23"/>
  <c r="P23" i="23"/>
  <c r="O23" i="23"/>
  <c r="N23" i="23"/>
  <c r="M23" i="23"/>
  <c r="L23" i="23"/>
  <c r="K23" i="23"/>
  <c r="J23" i="23"/>
  <c r="X30" i="23"/>
  <c r="W30" i="23"/>
  <c r="V30" i="23"/>
  <c r="U30" i="23"/>
  <c r="T30" i="23"/>
  <c r="S30" i="23"/>
  <c r="R30" i="23"/>
  <c r="Q30" i="23"/>
  <c r="P30" i="23"/>
  <c r="O30" i="23"/>
  <c r="N30" i="23"/>
  <c r="M30" i="23"/>
  <c r="L30" i="23"/>
  <c r="K30" i="23"/>
  <c r="J30" i="23"/>
  <c r="X8" i="23"/>
  <c r="W8" i="23"/>
  <c r="V8" i="23"/>
  <c r="U8" i="23"/>
  <c r="T8" i="23"/>
  <c r="S8" i="23"/>
  <c r="R8" i="23"/>
  <c r="Q8" i="23"/>
  <c r="P8" i="23"/>
  <c r="O8" i="23"/>
  <c r="N8" i="23"/>
  <c r="M8" i="23"/>
  <c r="L8" i="23"/>
  <c r="K8" i="23"/>
  <c r="J8" i="23"/>
  <c r="X7" i="23"/>
  <c r="W7" i="23"/>
  <c r="V7" i="23"/>
  <c r="U7" i="23"/>
  <c r="T7" i="23"/>
  <c r="S7" i="23"/>
  <c r="R7" i="23"/>
  <c r="Q7" i="23"/>
  <c r="P7" i="23"/>
  <c r="O7" i="23"/>
  <c r="N7" i="23"/>
  <c r="M7" i="23"/>
  <c r="L7" i="23"/>
  <c r="K7" i="23"/>
  <c r="J7" i="23"/>
  <c r="X15" i="23"/>
  <c r="W15" i="23"/>
  <c r="V15" i="23"/>
  <c r="U15" i="23"/>
  <c r="T15" i="23"/>
  <c r="S15" i="23"/>
  <c r="R15" i="23"/>
  <c r="Q15" i="23"/>
  <c r="P15" i="23"/>
  <c r="O15" i="23"/>
  <c r="N15" i="23"/>
  <c r="M15" i="23"/>
  <c r="L15" i="23"/>
  <c r="K15" i="23"/>
  <c r="J15" i="23"/>
  <c r="X6" i="23"/>
  <c r="W6" i="23"/>
  <c r="V6" i="23"/>
  <c r="U6" i="23"/>
  <c r="T6" i="23"/>
  <c r="S6" i="23"/>
  <c r="R6" i="23"/>
  <c r="Q6" i="23"/>
  <c r="P6" i="23"/>
  <c r="O6" i="23"/>
  <c r="N6" i="23"/>
  <c r="M6" i="23"/>
  <c r="L6" i="23"/>
  <c r="K6" i="23"/>
  <c r="J6" i="23"/>
  <c r="X5" i="23"/>
  <c r="W5" i="23"/>
  <c r="V5" i="23"/>
  <c r="U5" i="23"/>
  <c r="T5" i="23"/>
  <c r="S5" i="23"/>
  <c r="R5" i="23"/>
  <c r="Q5" i="23"/>
  <c r="P5" i="23"/>
  <c r="O5" i="23"/>
  <c r="N5" i="23"/>
  <c r="M5" i="23"/>
  <c r="L5" i="23"/>
  <c r="K5" i="23"/>
  <c r="J5" i="23"/>
  <c r="X4" i="23"/>
  <c r="W4" i="23"/>
  <c r="V4" i="23"/>
  <c r="U4" i="23"/>
  <c r="T4" i="23"/>
  <c r="S4" i="23"/>
  <c r="R4" i="23"/>
  <c r="Q4" i="23"/>
  <c r="P4" i="23"/>
  <c r="O4" i="23"/>
  <c r="N4" i="23"/>
  <c r="M4" i="23"/>
  <c r="L4" i="23"/>
  <c r="K4" i="23"/>
  <c r="J4" i="23"/>
  <c r="X22" i="23"/>
  <c r="W22" i="23"/>
  <c r="V22" i="23"/>
  <c r="U22" i="23"/>
  <c r="T22" i="23"/>
  <c r="S22" i="23"/>
  <c r="R22" i="23"/>
  <c r="Q22" i="23"/>
  <c r="P22" i="23"/>
  <c r="O22" i="23"/>
  <c r="N22" i="23"/>
  <c r="M22" i="23"/>
  <c r="L22" i="23"/>
  <c r="K22" i="23"/>
  <c r="J22" i="23"/>
  <c r="X14" i="23"/>
  <c r="W14" i="23"/>
  <c r="V14" i="23"/>
  <c r="U14" i="23"/>
  <c r="T14" i="23"/>
  <c r="S14" i="23"/>
  <c r="R14" i="23"/>
  <c r="Q14" i="23"/>
  <c r="P14" i="23"/>
  <c r="O14" i="23"/>
  <c r="N14" i="23"/>
  <c r="M14" i="23"/>
  <c r="L14" i="23"/>
  <c r="K14" i="23"/>
  <c r="J14" i="23"/>
  <c r="X21" i="23"/>
  <c r="W21" i="23"/>
  <c r="V21" i="23"/>
  <c r="U21" i="23"/>
  <c r="T21" i="23"/>
  <c r="S21" i="23"/>
  <c r="R21" i="23"/>
  <c r="Q21" i="23"/>
  <c r="P21" i="23"/>
  <c r="O21" i="23"/>
  <c r="N21" i="23"/>
  <c r="M21" i="23"/>
  <c r="L21" i="23"/>
  <c r="K21" i="23"/>
  <c r="J21" i="23"/>
  <c r="X29" i="23"/>
  <c r="W29" i="23"/>
  <c r="V29" i="23"/>
  <c r="U29" i="23"/>
  <c r="T29" i="23"/>
  <c r="S29" i="23"/>
  <c r="R29" i="23"/>
  <c r="Q29" i="23"/>
  <c r="P29" i="23"/>
  <c r="O29" i="23"/>
  <c r="N29" i="23"/>
  <c r="M29" i="23"/>
  <c r="L29" i="23"/>
  <c r="K29" i="23"/>
  <c r="J29" i="23"/>
  <c r="X13" i="23"/>
  <c r="W13" i="23"/>
  <c r="V13" i="23"/>
  <c r="U13" i="23"/>
  <c r="T13" i="23"/>
  <c r="S13" i="23"/>
  <c r="R13" i="23"/>
  <c r="Q13" i="23"/>
  <c r="P13" i="23"/>
  <c r="O13" i="23"/>
  <c r="N13" i="23"/>
  <c r="M13" i="23"/>
  <c r="L13" i="23"/>
  <c r="K13" i="23"/>
  <c r="J13" i="23"/>
  <c r="X28" i="23"/>
  <c r="W28" i="23"/>
  <c r="V28" i="23"/>
  <c r="U28" i="23"/>
  <c r="T28" i="23"/>
  <c r="S28" i="23"/>
  <c r="R28" i="23"/>
  <c r="Q28" i="23"/>
  <c r="P28" i="23"/>
  <c r="O28" i="23"/>
  <c r="N28" i="23"/>
  <c r="M28" i="23"/>
  <c r="L28" i="23"/>
  <c r="K28" i="23"/>
  <c r="J28" i="23"/>
  <c r="X12" i="23"/>
  <c r="W12" i="23"/>
  <c r="V12" i="23"/>
  <c r="U12" i="23"/>
  <c r="T12" i="23"/>
  <c r="S12" i="23"/>
  <c r="R12" i="23"/>
  <c r="Q12" i="23"/>
  <c r="P12" i="23"/>
  <c r="O12" i="23"/>
  <c r="N12" i="23"/>
  <c r="M12" i="23"/>
  <c r="L12" i="23"/>
  <c r="K12" i="23"/>
  <c r="J12" i="23"/>
  <c r="X20" i="23"/>
  <c r="W20" i="23"/>
  <c r="V20" i="23"/>
  <c r="U20" i="23"/>
  <c r="T20" i="23"/>
  <c r="S20" i="23"/>
  <c r="R20" i="23"/>
  <c r="Q20" i="23"/>
  <c r="P20" i="23"/>
  <c r="O20" i="23"/>
  <c r="N20" i="23"/>
  <c r="M20" i="23"/>
  <c r="L20" i="23"/>
  <c r="K20" i="23"/>
  <c r="J20" i="23"/>
  <c r="X3" i="23"/>
  <c r="W3" i="23"/>
  <c r="V3" i="23"/>
  <c r="U3" i="23"/>
  <c r="T3" i="23"/>
  <c r="S3" i="23"/>
  <c r="R3" i="23"/>
  <c r="Q3" i="23"/>
  <c r="P3" i="23"/>
  <c r="O3" i="23"/>
  <c r="N3" i="23"/>
  <c r="M3" i="23"/>
  <c r="L3" i="23"/>
  <c r="K3" i="23"/>
  <c r="J3" i="23"/>
  <c r="X19" i="23"/>
  <c r="W19" i="23"/>
  <c r="V19" i="23"/>
  <c r="U19" i="23"/>
  <c r="T19" i="23"/>
  <c r="S19" i="23"/>
  <c r="R19" i="23"/>
  <c r="Q19" i="23"/>
  <c r="P19" i="23"/>
  <c r="O19" i="23"/>
  <c r="N19" i="23"/>
  <c r="M19" i="23"/>
  <c r="L19" i="23"/>
  <c r="K19" i="23"/>
  <c r="J19" i="23"/>
  <c r="X18" i="23"/>
  <c r="W18" i="23"/>
  <c r="V18" i="23"/>
  <c r="U18" i="23"/>
  <c r="T18" i="23"/>
  <c r="S18" i="23"/>
  <c r="R18" i="23"/>
  <c r="Q18" i="23"/>
  <c r="P18" i="23"/>
  <c r="O18" i="23"/>
  <c r="N18" i="23"/>
  <c r="M18" i="23"/>
  <c r="L18" i="23"/>
  <c r="K18" i="23"/>
  <c r="J18" i="23"/>
  <c r="X2" i="23"/>
  <c r="W2" i="23"/>
  <c r="V2" i="23"/>
  <c r="U2" i="23"/>
  <c r="T2" i="23"/>
  <c r="S2" i="23"/>
  <c r="R2" i="23"/>
  <c r="Q2" i="23"/>
  <c r="P2" i="23"/>
  <c r="O2" i="23"/>
  <c r="N2" i="23"/>
  <c r="M2" i="23"/>
  <c r="L2" i="23"/>
  <c r="K2" i="23"/>
  <c r="J2" i="23"/>
  <c r="X27" i="23"/>
  <c r="W27" i="23"/>
  <c r="V27" i="23"/>
  <c r="U27" i="23"/>
  <c r="T27" i="23"/>
  <c r="S27" i="23"/>
  <c r="R27" i="23"/>
  <c r="Q27" i="23"/>
  <c r="P27" i="23"/>
  <c r="O27" i="23"/>
  <c r="N27" i="23"/>
  <c r="M27" i="23"/>
  <c r="L27" i="23"/>
  <c r="K27" i="23"/>
  <c r="J27" i="23"/>
  <c r="X11" i="23"/>
  <c r="W11" i="23"/>
  <c r="V11" i="23"/>
  <c r="U11" i="23"/>
  <c r="T11" i="23"/>
  <c r="S11" i="23"/>
  <c r="R11" i="23"/>
  <c r="Q11" i="23"/>
  <c r="P11" i="23"/>
  <c r="O11" i="23"/>
  <c r="N11" i="23"/>
  <c r="M11" i="23"/>
  <c r="L11" i="23"/>
  <c r="K11" i="23"/>
  <c r="J11" i="23"/>
  <c r="X10" i="23"/>
  <c r="W10" i="23"/>
  <c r="V10" i="23"/>
  <c r="U10" i="23"/>
  <c r="T10" i="23"/>
  <c r="S10" i="23"/>
  <c r="R10" i="23"/>
  <c r="Q10" i="23"/>
  <c r="P10" i="23"/>
  <c r="O10" i="23"/>
  <c r="N10" i="23"/>
  <c r="M10" i="23"/>
  <c r="L10" i="23"/>
  <c r="K10" i="23"/>
  <c r="J10" i="23"/>
  <c r="X26" i="23"/>
  <c r="W26" i="23"/>
  <c r="V26" i="23"/>
  <c r="U26" i="23"/>
  <c r="T26" i="23"/>
  <c r="S26" i="23"/>
  <c r="R26" i="23"/>
  <c r="Q26" i="23"/>
  <c r="P26" i="23"/>
  <c r="O26" i="23"/>
  <c r="N26" i="23"/>
  <c r="M26" i="23"/>
  <c r="L26" i="23"/>
  <c r="K26" i="23"/>
  <c r="J26" i="23"/>
  <c r="X25" i="23"/>
  <c r="W25" i="23"/>
  <c r="V25" i="23"/>
  <c r="U25" i="23"/>
  <c r="T25" i="23"/>
  <c r="S25" i="23"/>
  <c r="R25" i="23"/>
  <c r="Q25" i="23"/>
  <c r="P25" i="23"/>
  <c r="O25" i="23"/>
  <c r="N25" i="23"/>
  <c r="M25" i="23"/>
  <c r="L25" i="23"/>
  <c r="K25" i="23"/>
  <c r="J25" i="23"/>
  <c r="B42" i="22"/>
  <c r="B37" i="22"/>
  <c r="B36" i="22"/>
  <c r="I33" i="22"/>
  <c r="H33" i="22"/>
  <c r="X24" i="22"/>
  <c r="W24" i="22"/>
  <c r="V24" i="22"/>
  <c r="U24" i="22"/>
  <c r="T24" i="22"/>
  <c r="S24" i="22"/>
  <c r="R24" i="22"/>
  <c r="Q24" i="22"/>
  <c r="P24" i="22"/>
  <c r="O24" i="22"/>
  <c r="N24" i="22"/>
  <c r="M24" i="22"/>
  <c r="L24" i="22"/>
  <c r="K24" i="22"/>
  <c r="J24" i="22"/>
  <c r="X9" i="22"/>
  <c r="W9" i="22"/>
  <c r="V9" i="22"/>
  <c r="U9" i="22"/>
  <c r="T9" i="22"/>
  <c r="S9" i="22"/>
  <c r="R9" i="22"/>
  <c r="Q9" i="22"/>
  <c r="P9" i="22"/>
  <c r="O9" i="22"/>
  <c r="N9" i="22"/>
  <c r="M9" i="22"/>
  <c r="L9" i="22"/>
  <c r="K9" i="22"/>
  <c r="J9" i="22"/>
  <c r="X31" i="22"/>
  <c r="W31" i="22"/>
  <c r="V31" i="22"/>
  <c r="U31" i="22"/>
  <c r="T31" i="22"/>
  <c r="S31" i="22"/>
  <c r="R31" i="22"/>
  <c r="Q31" i="22"/>
  <c r="P31" i="22"/>
  <c r="O31" i="22"/>
  <c r="N31" i="22"/>
  <c r="M31" i="22"/>
  <c r="L31" i="22"/>
  <c r="K31" i="22"/>
  <c r="J31" i="22"/>
  <c r="X17" i="22"/>
  <c r="W17" i="22"/>
  <c r="V17" i="22"/>
  <c r="U17" i="22"/>
  <c r="T17" i="22"/>
  <c r="S17" i="22"/>
  <c r="R17" i="22"/>
  <c r="Q17" i="22"/>
  <c r="P17" i="22"/>
  <c r="O17" i="22"/>
  <c r="N17" i="22"/>
  <c r="M17" i="22"/>
  <c r="L17" i="22"/>
  <c r="K17" i="22"/>
  <c r="J17" i="22"/>
  <c r="X16" i="22"/>
  <c r="W16" i="22"/>
  <c r="V16" i="22"/>
  <c r="U16" i="22"/>
  <c r="T16" i="22"/>
  <c r="S16" i="22"/>
  <c r="R16" i="22"/>
  <c r="Q16" i="22"/>
  <c r="P16" i="22"/>
  <c r="O16" i="22"/>
  <c r="N16" i="22"/>
  <c r="M16" i="22"/>
  <c r="L16" i="22"/>
  <c r="K16" i="22"/>
  <c r="J16" i="22"/>
  <c r="X23" i="22"/>
  <c r="W23" i="22"/>
  <c r="V23" i="22"/>
  <c r="U23" i="22"/>
  <c r="T23" i="22"/>
  <c r="S23" i="22"/>
  <c r="R23" i="22"/>
  <c r="Q23" i="22"/>
  <c r="P23" i="22"/>
  <c r="O23" i="22"/>
  <c r="N23" i="22"/>
  <c r="M23" i="22"/>
  <c r="L23" i="22"/>
  <c r="K23" i="22"/>
  <c r="J23" i="22"/>
  <c r="X30" i="22"/>
  <c r="W30" i="22"/>
  <c r="V30" i="22"/>
  <c r="U30" i="22"/>
  <c r="T30" i="22"/>
  <c r="S30" i="22"/>
  <c r="R30" i="22"/>
  <c r="Q30" i="22"/>
  <c r="P30" i="22"/>
  <c r="O30" i="22"/>
  <c r="N30" i="22"/>
  <c r="M30" i="22"/>
  <c r="L30" i="22"/>
  <c r="K30" i="22"/>
  <c r="J30" i="22"/>
  <c r="X8" i="22"/>
  <c r="W8" i="22"/>
  <c r="V8" i="22"/>
  <c r="U8" i="22"/>
  <c r="T8" i="22"/>
  <c r="S8" i="22"/>
  <c r="R8" i="22"/>
  <c r="Q8" i="22"/>
  <c r="P8" i="22"/>
  <c r="O8" i="22"/>
  <c r="N8" i="22"/>
  <c r="M8" i="22"/>
  <c r="L8" i="22"/>
  <c r="K8" i="22"/>
  <c r="J8" i="22"/>
  <c r="X7" i="22"/>
  <c r="W7" i="22"/>
  <c r="V7" i="22"/>
  <c r="U7" i="22"/>
  <c r="T7" i="22"/>
  <c r="S7" i="22"/>
  <c r="R7" i="22"/>
  <c r="Q7" i="22"/>
  <c r="P7" i="22"/>
  <c r="O7" i="22"/>
  <c r="N7" i="22"/>
  <c r="M7" i="22"/>
  <c r="L7" i="22"/>
  <c r="K7" i="22"/>
  <c r="J7" i="22"/>
  <c r="X15" i="22"/>
  <c r="W15" i="22"/>
  <c r="V15" i="22"/>
  <c r="U15" i="22"/>
  <c r="T15" i="22"/>
  <c r="S15" i="22"/>
  <c r="R15" i="22"/>
  <c r="Q15" i="22"/>
  <c r="P15" i="22"/>
  <c r="O15" i="22"/>
  <c r="N15" i="22"/>
  <c r="M15" i="22"/>
  <c r="L15" i="22"/>
  <c r="K15" i="22"/>
  <c r="J15" i="22"/>
  <c r="X6" i="22"/>
  <c r="W6" i="22"/>
  <c r="V6" i="22"/>
  <c r="U6" i="22"/>
  <c r="T6" i="22"/>
  <c r="S6" i="22"/>
  <c r="R6" i="22"/>
  <c r="Q6" i="22"/>
  <c r="P6" i="22"/>
  <c r="O6" i="22"/>
  <c r="N6" i="22"/>
  <c r="M6" i="22"/>
  <c r="L6" i="22"/>
  <c r="K6" i="22"/>
  <c r="J6" i="22"/>
  <c r="X5" i="22"/>
  <c r="W5" i="22"/>
  <c r="V5" i="22"/>
  <c r="U5" i="22"/>
  <c r="T5" i="22"/>
  <c r="S5" i="22"/>
  <c r="R5" i="22"/>
  <c r="Q5" i="22"/>
  <c r="P5" i="22"/>
  <c r="O5" i="22"/>
  <c r="N5" i="22"/>
  <c r="M5" i="22"/>
  <c r="L5" i="22"/>
  <c r="K5" i="22"/>
  <c r="J5" i="22"/>
  <c r="X4" i="22"/>
  <c r="W4" i="22"/>
  <c r="V4" i="22"/>
  <c r="U4" i="22"/>
  <c r="T4" i="22"/>
  <c r="S4" i="22"/>
  <c r="R4" i="22"/>
  <c r="Q4" i="22"/>
  <c r="P4" i="22"/>
  <c r="O4" i="22"/>
  <c r="N4" i="22"/>
  <c r="M4" i="22"/>
  <c r="L4" i="22"/>
  <c r="K4" i="22"/>
  <c r="J4" i="22"/>
  <c r="X22" i="22"/>
  <c r="W22" i="22"/>
  <c r="V22" i="22"/>
  <c r="U22" i="22"/>
  <c r="T22" i="22"/>
  <c r="S22" i="22"/>
  <c r="R22" i="22"/>
  <c r="Q22" i="22"/>
  <c r="P22" i="22"/>
  <c r="O22" i="22"/>
  <c r="N22" i="22"/>
  <c r="M22" i="22"/>
  <c r="L22" i="22"/>
  <c r="K22" i="22"/>
  <c r="J22" i="22"/>
  <c r="X14" i="22"/>
  <c r="W14" i="22"/>
  <c r="V14" i="22"/>
  <c r="U14" i="22"/>
  <c r="T14" i="22"/>
  <c r="S14" i="22"/>
  <c r="R14" i="22"/>
  <c r="Q14" i="22"/>
  <c r="P14" i="22"/>
  <c r="O14" i="22"/>
  <c r="N14" i="22"/>
  <c r="M14" i="22"/>
  <c r="L14" i="22"/>
  <c r="K14" i="22"/>
  <c r="J14" i="22"/>
  <c r="X21" i="22"/>
  <c r="W21" i="22"/>
  <c r="V21" i="22"/>
  <c r="U21" i="22"/>
  <c r="T21" i="22"/>
  <c r="S21" i="22"/>
  <c r="R21" i="22"/>
  <c r="Q21" i="22"/>
  <c r="P21" i="22"/>
  <c r="O21" i="22"/>
  <c r="N21" i="22"/>
  <c r="M21" i="22"/>
  <c r="L21" i="22"/>
  <c r="K21" i="22"/>
  <c r="J21" i="22"/>
  <c r="X29" i="22"/>
  <c r="W29" i="22"/>
  <c r="V29" i="22"/>
  <c r="U29" i="22"/>
  <c r="T29" i="22"/>
  <c r="S29" i="22"/>
  <c r="R29" i="22"/>
  <c r="Q29" i="22"/>
  <c r="P29" i="22"/>
  <c r="O29" i="22"/>
  <c r="N29" i="22"/>
  <c r="M29" i="22"/>
  <c r="L29" i="22"/>
  <c r="K29" i="22"/>
  <c r="J29" i="22"/>
  <c r="X13" i="22"/>
  <c r="W13" i="22"/>
  <c r="V13" i="22"/>
  <c r="U13" i="22"/>
  <c r="T13" i="22"/>
  <c r="S13" i="22"/>
  <c r="R13" i="22"/>
  <c r="Q13" i="22"/>
  <c r="P13" i="22"/>
  <c r="O13" i="22"/>
  <c r="N13" i="22"/>
  <c r="M13" i="22"/>
  <c r="L13" i="22"/>
  <c r="K13" i="22"/>
  <c r="J13" i="22"/>
  <c r="X28" i="22"/>
  <c r="W28" i="22"/>
  <c r="V28" i="22"/>
  <c r="U28" i="22"/>
  <c r="T28" i="22"/>
  <c r="S28" i="22"/>
  <c r="R28" i="22"/>
  <c r="Q28" i="22"/>
  <c r="P28" i="22"/>
  <c r="O28" i="22"/>
  <c r="N28" i="22"/>
  <c r="M28" i="22"/>
  <c r="L28" i="22"/>
  <c r="K28" i="22"/>
  <c r="J28" i="22"/>
  <c r="X12" i="22"/>
  <c r="W12" i="22"/>
  <c r="V12" i="22"/>
  <c r="U12" i="22"/>
  <c r="T12" i="22"/>
  <c r="S12" i="22"/>
  <c r="R12" i="22"/>
  <c r="Q12" i="22"/>
  <c r="P12" i="22"/>
  <c r="O12" i="22"/>
  <c r="N12" i="22"/>
  <c r="M12" i="22"/>
  <c r="L12" i="22"/>
  <c r="K12" i="22"/>
  <c r="J12" i="22"/>
  <c r="X20" i="22"/>
  <c r="W20" i="22"/>
  <c r="V20" i="22"/>
  <c r="U20" i="22"/>
  <c r="T20" i="22"/>
  <c r="S20" i="22"/>
  <c r="R20" i="22"/>
  <c r="Q20" i="22"/>
  <c r="P20" i="22"/>
  <c r="O20" i="22"/>
  <c r="N20" i="22"/>
  <c r="M20" i="22"/>
  <c r="L20" i="22"/>
  <c r="K20" i="22"/>
  <c r="J20" i="22"/>
  <c r="X3" i="22"/>
  <c r="W3" i="22"/>
  <c r="V3" i="22"/>
  <c r="U3" i="22"/>
  <c r="T3" i="22"/>
  <c r="S3" i="22"/>
  <c r="R3" i="22"/>
  <c r="Q3" i="22"/>
  <c r="P3" i="22"/>
  <c r="O3" i="22"/>
  <c r="N3" i="22"/>
  <c r="M3" i="22"/>
  <c r="L3" i="22"/>
  <c r="K3" i="22"/>
  <c r="J3" i="22"/>
  <c r="X19" i="22"/>
  <c r="W19" i="22"/>
  <c r="V19" i="22"/>
  <c r="U19" i="22"/>
  <c r="T19" i="22"/>
  <c r="S19" i="22"/>
  <c r="R19" i="22"/>
  <c r="Q19" i="22"/>
  <c r="P19" i="22"/>
  <c r="O19" i="22"/>
  <c r="N19" i="22"/>
  <c r="M19" i="22"/>
  <c r="L19" i="22"/>
  <c r="K19" i="22"/>
  <c r="J19" i="22"/>
  <c r="X18" i="22"/>
  <c r="W18" i="22"/>
  <c r="V18" i="22"/>
  <c r="U18" i="22"/>
  <c r="T18" i="22"/>
  <c r="S18" i="22"/>
  <c r="R18" i="22"/>
  <c r="Q18" i="22"/>
  <c r="P18" i="22"/>
  <c r="O18" i="22"/>
  <c r="N18" i="22"/>
  <c r="M18" i="22"/>
  <c r="L18" i="22"/>
  <c r="K18" i="22"/>
  <c r="J18" i="22"/>
  <c r="X2" i="22"/>
  <c r="W2" i="22"/>
  <c r="V2" i="22"/>
  <c r="U2" i="22"/>
  <c r="T2" i="22"/>
  <c r="S2" i="22"/>
  <c r="R2" i="22"/>
  <c r="Q2" i="22"/>
  <c r="P2" i="22"/>
  <c r="O2" i="22"/>
  <c r="N2" i="22"/>
  <c r="M2" i="22"/>
  <c r="L2" i="22"/>
  <c r="K2" i="22"/>
  <c r="J2" i="22"/>
  <c r="X27" i="22"/>
  <c r="W27" i="22"/>
  <c r="V27" i="22"/>
  <c r="U27" i="22"/>
  <c r="T27" i="22"/>
  <c r="S27" i="22"/>
  <c r="R27" i="22"/>
  <c r="Q27" i="22"/>
  <c r="P27" i="22"/>
  <c r="O27" i="22"/>
  <c r="N27" i="22"/>
  <c r="M27" i="22"/>
  <c r="L27" i="22"/>
  <c r="K27" i="22"/>
  <c r="J27" i="22"/>
  <c r="X11" i="22"/>
  <c r="W11" i="22"/>
  <c r="V11" i="22"/>
  <c r="U11" i="22"/>
  <c r="T11" i="22"/>
  <c r="S11" i="22"/>
  <c r="R11" i="22"/>
  <c r="Q11" i="22"/>
  <c r="P11" i="22"/>
  <c r="O11" i="22"/>
  <c r="N11" i="22"/>
  <c r="M11" i="22"/>
  <c r="L11" i="22"/>
  <c r="K11" i="22"/>
  <c r="J11" i="22"/>
  <c r="X10" i="22"/>
  <c r="W10" i="22"/>
  <c r="V10" i="22"/>
  <c r="U10" i="22"/>
  <c r="T10" i="22"/>
  <c r="S10" i="22"/>
  <c r="R10" i="22"/>
  <c r="Q10" i="22"/>
  <c r="P10" i="22"/>
  <c r="O10" i="22"/>
  <c r="N10" i="22"/>
  <c r="M10" i="22"/>
  <c r="L10" i="22"/>
  <c r="K10" i="22"/>
  <c r="J10" i="22"/>
  <c r="X26" i="22"/>
  <c r="W26" i="22"/>
  <c r="V26" i="22"/>
  <c r="U26" i="22"/>
  <c r="T26" i="22"/>
  <c r="S26" i="22"/>
  <c r="R26" i="22"/>
  <c r="Q26" i="22"/>
  <c r="P26" i="22"/>
  <c r="O26" i="22"/>
  <c r="N26" i="22"/>
  <c r="M26" i="22"/>
  <c r="L26" i="22"/>
  <c r="K26" i="22"/>
  <c r="J26" i="22"/>
  <c r="X25" i="22"/>
  <c r="W25" i="22"/>
  <c r="V25" i="22"/>
  <c r="U25" i="22"/>
  <c r="T25" i="22"/>
  <c r="S25" i="22"/>
  <c r="R25" i="22"/>
  <c r="Q25" i="22"/>
  <c r="P25" i="22"/>
  <c r="O25" i="22"/>
  <c r="N25" i="22"/>
  <c r="M25" i="22"/>
  <c r="L25" i="22"/>
  <c r="K25" i="22"/>
  <c r="J25" i="22"/>
  <c r="B42" i="21"/>
  <c r="B37" i="21"/>
  <c r="B36" i="21"/>
  <c r="I33" i="21"/>
  <c r="H33" i="21"/>
  <c r="X24" i="21"/>
  <c r="W24" i="21"/>
  <c r="V24" i="21"/>
  <c r="U24" i="21"/>
  <c r="T24" i="21"/>
  <c r="S24" i="21"/>
  <c r="R24" i="21"/>
  <c r="Q24" i="21"/>
  <c r="P24" i="21"/>
  <c r="O24" i="21"/>
  <c r="N24" i="21"/>
  <c r="M24" i="21"/>
  <c r="L24" i="21"/>
  <c r="K24" i="21"/>
  <c r="J24" i="21"/>
  <c r="X9" i="21"/>
  <c r="W9" i="21"/>
  <c r="V9" i="21"/>
  <c r="U9" i="21"/>
  <c r="T9" i="21"/>
  <c r="S9" i="21"/>
  <c r="R9" i="21"/>
  <c r="Q9" i="21"/>
  <c r="P9" i="21"/>
  <c r="O9" i="21"/>
  <c r="N9" i="21"/>
  <c r="M9" i="21"/>
  <c r="L9" i="21"/>
  <c r="K9" i="21"/>
  <c r="J9" i="21"/>
  <c r="X31" i="21"/>
  <c r="W31" i="21"/>
  <c r="V31" i="21"/>
  <c r="U31" i="21"/>
  <c r="T31" i="21"/>
  <c r="S31" i="21"/>
  <c r="R31" i="21"/>
  <c r="Q31" i="21"/>
  <c r="P31" i="21"/>
  <c r="O31" i="21"/>
  <c r="N31" i="21"/>
  <c r="M31" i="21"/>
  <c r="L31" i="21"/>
  <c r="K31" i="21"/>
  <c r="J31" i="21"/>
  <c r="X17" i="21"/>
  <c r="W17" i="21"/>
  <c r="V17" i="21"/>
  <c r="U17" i="21"/>
  <c r="T17" i="21"/>
  <c r="S17" i="21"/>
  <c r="R17" i="21"/>
  <c r="Q17" i="21"/>
  <c r="P17" i="21"/>
  <c r="O17" i="21"/>
  <c r="N17" i="21"/>
  <c r="M17" i="21"/>
  <c r="L17" i="21"/>
  <c r="K17" i="21"/>
  <c r="J17" i="21"/>
  <c r="X16" i="21"/>
  <c r="W16" i="21"/>
  <c r="V16" i="21"/>
  <c r="U16" i="21"/>
  <c r="T16" i="21"/>
  <c r="S16" i="21"/>
  <c r="R16" i="21"/>
  <c r="Q16" i="21"/>
  <c r="P16" i="21"/>
  <c r="O16" i="21"/>
  <c r="N16" i="21"/>
  <c r="M16" i="21"/>
  <c r="L16" i="21"/>
  <c r="K16" i="21"/>
  <c r="J16" i="21"/>
  <c r="X23" i="21"/>
  <c r="W23" i="21"/>
  <c r="V23" i="21"/>
  <c r="U23" i="21"/>
  <c r="T23" i="21"/>
  <c r="S23" i="21"/>
  <c r="R23" i="21"/>
  <c r="Q23" i="21"/>
  <c r="P23" i="21"/>
  <c r="O23" i="21"/>
  <c r="N23" i="21"/>
  <c r="M23" i="21"/>
  <c r="L23" i="21"/>
  <c r="K23" i="21"/>
  <c r="J23" i="21"/>
  <c r="X30" i="21"/>
  <c r="W30" i="21"/>
  <c r="V30" i="21"/>
  <c r="U30" i="21"/>
  <c r="T30" i="21"/>
  <c r="S30" i="21"/>
  <c r="R30" i="21"/>
  <c r="Q30" i="21"/>
  <c r="P30" i="21"/>
  <c r="O30" i="21"/>
  <c r="N30" i="21"/>
  <c r="M30" i="21"/>
  <c r="L30" i="21"/>
  <c r="K30" i="21"/>
  <c r="J30" i="21"/>
  <c r="X8" i="21"/>
  <c r="W8" i="21"/>
  <c r="V8" i="21"/>
  <c r="U8" i="21"/>
  <c r="T8" i="21"/>
  <c r="S8" i="21"/>
  <c r="R8" i="21"/>
  <c r="Q8" i="21"/>
  <c r="P8" i="21"/>
  <c r="O8" i="21"/>
  <c r="N8" i="21"/>
  <c r="M8" i="21"/>
  <c r="L8" i="21"/>
  <c r="K8" i="21"/>
  <c r="J8" i="21"/>
  <c r="X7" i="21"/>
  <c r="W7" i="21"/>
  <c r="V7" i="21"/>
  <c r="U7" i="21"/>
  <c r="T7" i="21"/>
  <c r="S7" i="21"/>
  <c r="R7" i="21"/>
  <c r="Q7" i="21"/>
  <c r="P7" i="21"/>
  <c r="O7" i="21"/>
  <c r="N7" i="21"/>
  <c r="M7" i="21"/>
  <c r="L7" i="21"/>
  <c r="K7" i="21"/>
  <c r="J7" i="21"/>
  <c r="X15" i="21"/>
  <c r="W15" i="21"/>
  <c r="V15" i="21"/>
  <c r="U15" i="21"/>
  <c r="T15" i="21"/>
  <c r="S15" i="21"/>
  <c r="R15" i="21"/>
  <c r="Q15" i="21"/>
  <c r="P15" i="21"/>
  <c r="O15" i="21"/>
  <c r="N15" i="21"/>
  <c r="M15" i="21"/>
  <c r="L15" i="21"/>
  <c r="K15" i="21"/>
  <c r="J15" i="21"/>
  <c r="X6" i="21"/>
  <c r="W6" i="21"/>
  <c r="V6" i="21"/>
  <c r="U6" i="21"/>
  <c r="T6" i="21"/>
  <c r="S6" i="21"/>
  <c r="R6" i="21"/>
  <c r="Q6" i="21"/>
  <c r="P6" i="21"/>
  <c r="O6" i="21"/>
  <c r="N6" i="21"/>
  <c r="M6" i="21"/>
  <c r="L6" i="21"/>
  <c r="K6" i="21"/>
  <c r="J6" i="21"/>
  <c r="X5" i="21"/>
  <c r="W5" i="21"/>
  <c r="V5" i="21"/>
  <c r="U5" i="21"/>
  <c r="T5" i="21"/>
  <c r="S5" i="21"/>
  <c r="R5" i="21"/>
  <c r="Q5" i="21"/>
  <c r="P5" i="21"/>
  <c r="O5" i="21"/>
  <c r="N5" i="21"/>
  <c r="M5" i="21"/>
  <c r="L5" i="21"/>
  <c r="K5" i="21"/>
  <c r="J5" i="21"/>
  <c r="X4" i="21"/>
  <c r="W4" i="21"/>
  <c r="V4" i="21"/>
  <c r="U4" i="21"/>
  <c r="T4" i="21"/>
  <c r="S4" i="21"/>
  <c r="R4" i="21"/>
  <c r="Q4" i="21"/>
  <c r="P4" i="21"/>
  <c r="O4" i="21"/>
  <c r="N4" i="21"/>
  <c r="M4" i="21"/>
  <c r="L4" i="21"/>
  <c r="K4" i="21"/>
  <c r="J4" i="21"/>
  <c r="X22" i="21"/>
  <c r="W22" i="21"/>
  <c r="V22" i="21"/>
  <c r="U22" i="21"/>
  <c r="T22" i="21"/>
  <c r="S22" i="21"/>
  <c r="R22" i="21"/>
  <c r="Q22" i="21"/>
  <c r="P22" i="21"/>
  <c r="O22" i="21"/>
  <c r="N22" i="21"/>
  <c r="M22" i="21"/>
  <c r="L22" i="21"/>
  <c r="K22" i="21"/>
  <c r="J22" i="21"/>
  <c r="X14" i="21"/>
  <c r="W14" i="21"/>
  <c r="V14" i="21"/>
  <c r="U14" i="21"/>
  <c r="T14" i="21"/>
  <c r="S14" i="21"/>
  <c r="R14" i="21"/>
  <c r="Q14" i="21"/>
  <c r="P14" i="21"/>
  <c r="O14" i="21"/>
  <c r="N14" i="21"/>
  <c r="M14" i="21"/>
  <c r="L14" i="21"/>
  <c r="K14" i="21"/>
  <c r="J14" i="21"/>
  <c r="X21" i="21"/>
  <c r="W21" i="21"/>
  <c r="V21" i="21"/>
  <c r="U21" i="21"/>
  <c r="T21" i="21"/>
  <c r="S21" i="21"/>
  <c r="R21" i="21"/>
  <c r="Q21" i="21"/>
  <c r="P21" i="21"/>
  <c r="O21" i="21"/>
  <c r="N21" i="21"/>
  <c r="M21" i="21"/>
  <c r="L21" i="21"/>
  <c r="K21" i="21"/>
  <c r="J21" i="21"/>
  <c r="X29" i="21"/>
  <c r="W29" i="21"/>
  <c r="V29" i="21"/>
  <c r="U29" i="21"/>
  <c r="T29" i="21"/>
  <c r="S29" i="21"/>
  <c r="R29" i="21"/>
  <c r="Q29" i="21"/>
  <c r="P29" i="21"/>
  <c r="O29" i="21"/>
  <c r="N29" i="21"/>
  <c r="M29" i="21"/>
  <c r="L29" i="21"/>
  <c r="K29" i="21"/>
  <c r="J29" i="21"/>
  <c r="X13" i="21"/>
  <c r="W13" i="21"/>
  <c r="V13" i="21"/>
  <c r="U13" i="21"/>
  <c r="T13" i="21"/>
  <c r="S13" i="21"/>
  <c r="R13" i="21"/>
  <c r="Q13" i="21"/>
  <c r="P13" i="21"/>
  <c r="O13" i="21"/>
  <c r="N13" i="21"/>
  <c r="M13" i="21"/>
  <c r="L13" i="21"/>
  <c r="K13" i="21"/>
  <c r="J13" i="21"/>
  <c r="X28" i="21"/>
  <c r="W28" i="21"/>
  <c r="V28" i="21"/>
  <c r="U28" i="21"/>
  <c r="T28" i="21"/>
  <c r="S28" i="21"/>
  <c r="R28" i="21"/>
  <c r="Q28" i="21"/>
  <c r="P28" i="21"/>
  <c r="O28" i="21"/>
  <c r="N28" i="21"/>
  <c r="M28" i="21"/>
  <c r="L28" i="21"/>
  <c r="K28" i="21"/>
  <c r="J28" i="21"/>
  <c r="X12" i="21"/>
  <c r="W12" i="21"/>
  <c r="V12" i="21"/>
  <c r="U12" i="21"/>
  <c r="T12" i="21"/>
  <c r="S12" i="21"/>
  <c r="R12" i="21"/>
  <c r="Q12" i="21"/>
  <c r="P12" i="21"/>
  <c r="O12" i="21"/>
  <c r="N12" i="21"/>
  <c r="M12" i="21"/>
  <c r="L12" i="21"/>
  <c r="K12" i="21"/>
  <c r="J12" i="21"/>
  <c r="X20" i="21"/>
  <c r="W20" i="21"/>
  <c r="V20" i="21"/>
  <c r="U20" i="21"/>
  <c r="T20" i="21"/>
  <c r="S20" i="21"/>
  <c r="R20" i="21"/>
  <c r="Q20" i="21"/>
  <c r="P20" i="21"/>
  <c r="O20" i="21"/>
  <c r="N20" i="21"/>
  <c r="M20" i="21"/>
  <c r="L20" i="21"/>
  <c r="K20" i="21"/>
  <c r="J20" i="21"/>
  <c r="X3" i="21"/>
  <c r="W3" i="21"/>
  <c r="V3" i="21"/>
  <c r="U3" i="21"/>
  <c r="T3" i="21"/>
  <c r="S3" i="21"/>
  <c r="R3" i="21"/>
  <c r="Q3" i="21"/>
  <c r="P3" i="21"/>
  <c r="O3" i="21"/>
  <c r="N3" i="21"/>
  <c r="M3" i="21"/>
  <c r="L3" i="21"/>
  <c r="K3" i="21"/>
  <c r="J3" i="21"/>
  <c r="X19" i="21"/>
  <c r="W19" i="21"/>
  <c r="V19" i="21"/>
  <c r="U19" i="21"/>
  <c r="T19" i="21"/>
  <c r="S19" i="21"/>
  <c r="R19" i="21"/>
  <c r="Q19" i="21"/>
  <c r="P19" i="21"/>
  <c r="O19" i="21"/>
  <c r="N19" i="21"/>
  <c r="M19" i="21"/>
  <c r="L19" i="21"/>
  <c r="K19" i="21"/>
  <c r="J19" i="21"/>
  <c r="X18" i="21"/>
  <c r="W18" i="21"/>
  <c r="V18" i="21"/>
  <c r="U18" i="21"/>
  <c r="T18" i="21"/>
  <c r="S18" i="21"/>
  <c r="R18" i="21"/>
  <c r="Q18" i="21"/>
  <c r="P18" i="21"/>
  <c r="O18" i="21"/>
  <c r="N18" i="21"/>
  <c r="M18" i="21"/>
  <c r="L18" i="21"/>
  <c r="K18" i="21"/>
  <c r="J18" i="21"/>
  <c r="X2" i="21"/>
  <c r="W2" i="21"/>
  <c r="V2" i="21"/>
  <c r="U2" i="21"/>
  <c r="T2" i="21"/>
  <c r="S2" i="21"/>
  <c r="R2" i="21"/>
  <c r="Q2" i="21"/>
  <c r="P2" i="21"/>
  <c r="O2" i="21"/>
  <c r="N2" i="21"/>
  <c r="M2" i="21"/>
  <c r="L2" i="21"/>
  <c r="K2" i="21"/>
  <c r="J2" i="21"/>
  <c r="X27" i="21"/>
  <c r="W27" i="21"/>
  <c r="V27" i="21"/>
  <c r="U27" i="21"/>
  <c r="T27" i="21"/>
  <c r="S27" i="21"/>
  <c r="R27" i="21"/>
  <c r="Q27" i="21"/>
  <c r="P27" i="21"/>
  <c r="O27" i="21"/>
  <c r="N27" i="21"/>
  <c r="M27" i="21"/>
  <c r="L27" i="21"/>
  <c r="K27" i="21"/>
  <c r="J27" i="21"/>
  <c r="X11" i="21"/>
  <c r="W11" i="21"/>
  <c r="V11" i="21"/>
  <c r="U11" i="21"/>
  <c r="T11" i="21"/>
  <c r="S11" i="21"/>
  <c r="R11" i="21"/>
  <c r="Q11" i="21"/>
  <c r="P11" i="21"/>
  <c r="O11" i="21"/>
  <c r="N11" i="21"/>
  <c r="M11" i="21"/>
  <c r="L11" i="21"/>
  <c r="K11" i="21"/>
  <c r="J11" i="21"/>
  <c r="X10" i="21"/>
  <c r="W10" i="21"/>
  <c r="V10" i="21"/>
  <c r="U10" i="21"/>
  <c r="T10" i="21"/>
  <c r="S10" i="21"/>
  <c r="R10" i="21"/>
  <c r="Q10" i="21"/>
  <c r="P10" i="21"/>
  <c r="O10" i="21"/>
  <c r="N10" i="21"/>
  <c r="M10" i="21"/>
  <c r="L10" i="21"/>
  <c r="K10" i="21"/>
  <c r="J10" i="21"/>
  <c r="X26" i="21"/>
  <c r="W26" i="21"/>
  <c r="V26" i="21"/>
  <c r="U26" i="21"/>
  <c r="T26" i="21"/>
  <c r="S26" i="21"/>
  <c r="R26" i="21"/>
  <c r="Q26" i="21"/>
  <c r="P26" i="21"/>
  <c r="O26" i="21"/>
  <c r="N26" i="21"/>
  <c r="M26" i="21"/>
  <c r="L26" i="21"/>
  <c r="K26" i="21"/>
  <c r="J26" i="21"/>
  <c r="X25" i="21"/>
  <c r="W25" i="21"/>
  <c r="V25" i="21"/>
  <c r="U25" i="21"/>
  <c r="T25" i="21"/>
  <c r="S25" i="21"/>
  <c r="R25" i="21"/>
  <c r="Q25" i="21"/>
  <c r="P25" i="21"/>
  <c r="O25" i="21"/>
  <c r="N25" i="21"/>
  <c r="M25" i="21"/>
  <c r="L25" i="21"/>
  <c r="K25" i="21"/>
  <c r="J25" i="21"/>
  <c r="B42" i="20"/>
  <c r="B37" i="20"/>
  <c r="B36" i="20"/>
  <c r="B39" i="20" s="1"/>
  <c r="I33" i="20"/>
  <c r="H33" i="20"/>
  <c r="X24" i="20"/>
  <c r="W24" i="20"/>
  <c r="V24" i="20"/>
  <c r="U24" i="20"/>
  <c r="T24" i="20"/>
  <c r="S24" i="20"/>
  <c r="R24" i="20"/>
  <c r="Q24" i="20"/>
  <c r="P24" i="20"/>
  <c r="O24" i="20"/>
  <c r="N24" i="20"/>
  <c r="M24" i="20"/>
  <c r="L24" i="20"/>
  <c r="K24" i="20"/>
  <c r="J24" i="20"/>
  <c r="X9" i="20"/>
  <c r="W9" i="20"/>
  <c r="V9" i="20"/>
  <c r="U9" i="20"/>
  <c r="T9" i="20"/>
  <c r="S9" i="20"/>
  <c r="R9" i="20"/>
  <c r="Q9" i="20"/>
  <c r="P9" i="20"/>
  <c r="O9" i="20"/>
  <c r="N9" i="20"/>
  <c r="M9" i="20"/>
  <c r="L9" i="20"/>
  <c r="K9" i="20"/>
  <c r="J9" i="20"/>
  <c r="X31" i="20"/>
  <c r="W31" i="20"/>
  <c r="V31" i="20"/>
  <c r="U31" i="20"/>
  <c r="T31" i="20"/>
  <c r="S31" i="20"/>
  <c r="R31" i="20"/>
  <c r="Q31" i="20"/>
  <c r="P31" i="20"/>
  <c r="O31" i="20"/>
  <c r="N31" i="20"/>
  <c r="M31" i="20"/>
  <c r="L31" i="20"/>
  <c r="K31" i="20"/>
  <c r="J31" i="20"/>
  <c r="X17" i="20"/>
  <c r="W17" i="20"/>
  <c r="V17" i="20"/>
  <c r="U17" i="20"/>
  <c r="T17" i="20"/>
  <c r="S17" i="20"/>
  <c r="R17" i="20"/>
  <c r="Q17" i="20"/>
  <c r="P17" i="20"/>
  <c r="O17" i="20"/>
  <c r="N17" i="20"/>
  <c r="M17" i="20"/>
  <c r="L17" i="20"/>
  <c r="K17" i="20"/>
  <c r="J17" i="20"/>
  <c r="X16" i="20"/>
  <c r="W16" i="20"/>
  <c r="V16" i="20"/>
  <c r="U16" i="20"/>
  <c r="T16" i="20"/>
  <c r="S16" i="20"/>
  <c r="R16" i="20"/>
  <c r="Q16" i="20"/>
  <c r="P16" i="20"/>
  <c r="O16" i="20"/>
  <c r="N16" i="20"/>
  <c r="M16" i="20"/>
  <c r="L16" i="20"/>
  <c r="K16" i="20"/>
  <c r="J16" i="20"/>
  <c r="X23" i="20"/>
  <c r="W23" i="20"/>
  <c r="V23" i="20"/>
  <c r="U23" i="20"/>
  <c r="T23" i="20"/>
  <c r="S23" i="20"/>
  <c r="R23" i="20"/>
  <c r="Q23" i="20"/>
  <c r="P23" i="20"/>
  <c r="O23" i="20"/>
  <c r="N23" i="20"/>
  <c r="M23" i="20"/>
  <c r="L23" i="20"/>
  <c r="K23" i="20"/>
  <c r="J23" i="20"/>
  <c r="X30" i="20"/>
  <c r="W30" i="20"/>
  <c r="V30" i="20"/>
  <c r="U30" i="20"/>
  <c r="T30" i="20"/>
  <c r="S30" i="20"/>
  <c r="R30" i="20"/>
  <c r="Q30" i="20"/>
  <c r="P30" i="20"/>
  <c r="O30" i="20"/>
  <c r="N30" i="20"/>
  <c r="M30" i="20"/>
  <c r="L30" i="20"/>
  <c r="K30" i="20"/>
  <c r="J30" i="20"/>
  <c r="X8" i="20"/>
  <c r="W8" i="20"/>
  <c r="V8" i="20"/>
  <c r="U8" i="20"/>
  <c r="T8" i="20"/>
  <c r="S8" i="20"/>
  <c r="R8" i="20"/>
  <c r="Q8" i="20"/>
  <c r="P8" i="20"/>
  <c r="O8" i="20"/>
  <c r="N8" i="20"/>
  <c r="M8" i="20"/>
  <c r="L8" i="20"/>
  <c r="K8" i="20"/>
  <c r="J8" i="20"/>
  <c r="X7" i="20"/>
  <c r="W7" i="20"/>
  <c r="V7" i="20"/>
  <c r="U7" i="20"/>
  <c r="T7" i="20"/>
  <c r="S7" i="20"/>
  <c r="R7" i="20"/>
  <c r="Q7" i="20"/>
  <c r="P7" i="20"/>
  <c r="O7" i="20"/>
  <c r="N7" i="20"/>
  <c r="M7" i="20"/>
  <c r="L7" i="20"/>
  <c r="K7" i="20"/>
  <c r="J7" i="20"/>
  <c r="X15" i="20"/>
  <c r="W15" i="20"/>
  <c r="V15" i="20"/>
  <c r="U15" i="20"/>
  <c r="T15" i="20"/>
  <c r="S15" i="20"/>
  <c r="R15" i="20"/>
  <c r="Q15" i="20"/>
  <c r="P15" i="20"/>
  <c r="O15" i="20"/>
  <c r="N15" i="20"/>
  <c r="M15" i="20"/>
  <c r="L15" i="20"/>
  <c r="K15" i="20"/>
  <c r="J15" i="20"/>
  <c r="X6" i="20"/>
  <c r="W6" i="20"/>
  <c r="V6" i="20"/>
  <c r="U6" i="20"/>
  <c r="T6" i="20"/>
  <c r="S6" i="20"/>
  <c r="R6" i="20"/>
  <c r="Q6" i="20"/>
  <c r="P6" i="20"/>
  <c r="O6" i="20"/>
  <c r="N6" i="20"/>
  <c r="M6" i="20"/>
  <c r="L6" i="20"/>
  <c r="K6" i="20"/>
  <c r="J6" i="20"/>
  <c r="X5" i="20"/>
  <c r="W5" i="20"/>
  <c r="V5" i="20"/>
  <c r="U5" i="20"/>
  <c r="T5" i="20"/>
  <c r="S5" i="20"/>
  <c r="R5" i="20"/>
  <c r="Q5" i="20"/>
  <c r="P5" i="20"/>
  <c r="O5" i="20"/>
  <c r="N5" i="20"/>
  <c r="M5" i="20"/>
  <c r="L5" i="20"/>
  <c r="K5" i="20"/>
  <c r="J5" i="20"/>
  <c r="X4" i="20"/>
  <c r="W4" i="20"/>
  <c r="V4" i="20"/>
  <c r="U4" i="20"/>
  <c r="T4" i="20"/>
  <c r="S4" i="20"/>
  <c r="R4" i="20"/>
  <c r="Q4" i="20"/>
  <c r="P4" i="20"/>
  <c r="O4" i="20"/>
  <c r="N4" i="20"/>
  <c r="M4" i="20"/>
  <c r="L4" i="20"/>
  <c r="K4" i="20"/>
  <c r="J4" i="20"/>
  <c r="X22" i="20"/>
  <c r="W22" i="20"/>
  <c r="V22" i="20"/>
  <c r="U22" i="20"/>
  <c r="T22" i="20"/>
  <c r="S22" i="20"/>
  <c r="R22" i="20"/>
  <c r="Q22" i="20"/>
  <c r="P22" i="20"/>
  <c r="O22" i="20"/>
  <c r="N22" i="20"/>
  <c r="M22" i="20"/>
  <c r="L22" i="20"/>
  <c r="K22" i="20"/>
  <c r="J22" i="20"/>
  <c r="X14" i="20"/>
  <c r="W14" i="20"/>
  <c r="V14" i="20"/>
  <c r="U14" i="20"/>
  <c r="T14" i="20"/>
  <c r="S14" i="20"/>
  <c r="R14" i="20"/>
  <c r="Q14" i="20"/>
  <c r="P14" i="20"/>
  <c r="O14" i="20"/>
  <c r="N14" i="20"/>
  <c r="M14" i="20"/>
  <c r="L14" i="20"/>
  <c r="K14" i="20"/>
  <c r="J14" i="20"/>
  <c r="X21" i="20"/>
  <c r="W21" i="20"/>
  <c r="V21" i="20"/>
  <c r="U21" i="20"/>
  <c r="T21" i="20"/>
  <c r="S21" i="20"/>
  <c r="R21" i="20"/>
  <c r="Q21" i="20"/>
  <c r="P21" i="20"/>
  <c r="O21" i="20"/>
  <c r="N21" i="20"/>
  <c r="M21" i="20"/>
  <c r="L21" i="20"/>
  <c r="K21" i="20"/>
  <c r="J21" i="20"/>
  <c r="X29" i="20"/>
  <c r="W29" i="20"/>
  <c r="V29" i="20"/>
  <c r="U29" i="20"/>
  <c r="T29" i="20"/>
  <c r="S29" i="20"/>
  <c r="R29" i="20"/>
  <c r="Q29" i="20"/>
  <c r="P29" i="20"/>
  <c r="O29" i="20"/>
  <c r="N29" i="20"/>
  <c r="M29" i="20"/>
  <c r="L29" i="20"/>
  <c r="K29" i="20"/>
  <c r="J29" i="20"/>
  <c r="X13" i="20"/>
  <c r="W13" i="20"/>
  <c r="V13" i="20"/>
  <c r="U13" i="20"/>
  <c r="T13" i="20"/>
  <c r="S13" i="20"/>
  <c r="R13" i="20"/>
  <c r="Q13" i="20"/>
  <c r="P13" i="20"/>
  <c r="O13" i="20"/>
  <c r="N13" i="20"/>
  <c r="M13" i="20"/>
  <c r="L13" i="20"/>
  <c r="K13" i="20"/>
  <c r="J13" i="20"/>
  <c r="X28" i="20"/>
  <c r="W28" i="20"/>
  <c r="V28" i="20"/>
  <c r="U28" i="20"/>
  <c r="T28" i="20"/>
  <c r="S28" i="20"/>
  <c r="R28" i="20"/>
  <c r="Q28" i="20"/>
  <c r="P28" i="20"/>
  <c r="O28" i="20"/>
  <c r="N28" i="20"/>
  <c r="M28" i="20"/>
  <c r="L28" i="20"/>
  <c r="K28" i="20"/>
  <c r="J28" i="20"/>
  <c r="X12" i="20"/>
  <c r="W12" i="20"/>
  <c r="V12" i="20"/>
  <c r="U12" i="20"/>
  <c r="T12" i="20"/>
  <c r="S12" i="20"/>
  <c r="R12" i="20"/>
  <c r="Q12" i="20"/>
  <c r="P12" i="20"/>
  <c r="O12" i="20"/>
  <c r="N12" i="20"/>
  <c r="M12" i="20"/>
  <c r="L12" i="20"/>
  <c r="K12" i="20"/>
  <c r="J12" i="20"/>
  <c r="X20" i="20"/>
  <c r="W20" i="20"/>
  <c r="V20" i="20"/>
  <c r="U20" i="20"/>
  <c r="T20" i="20"/>
  <c r="S20" i="20"/>
  <c r="R20" i="20"/>
  <c r="Q20" i="20"/>
  <c r="P20" i="20"/>
  <c r="O20" i="20"/>
  <c r="N20" i="20"/>
  <c r="M20" i="20"/>
  <c r="L20" i="20"/>
  <c r="K20" i="20"/>
  <c r="J20" i="20"/>
  <c r="X3" i="20"/>
  <c r="W3" i="20"/>
  <c r="V3" i="20"/>
  <c r="U3" i="20"/>
  <c r="T3" i="20"/>
  <c r="S3" i="20"/>
  <c r="R3" i="20"/>
  <c r="Q3" i="20"/>
  <c r="P3" i="20"/>
  <c r="O3" i="20"/>
  <c r="N3" i="20"/>
  <c r="M3" i="20"/>
  <c r="L3" i="20"/>
  <c r="K3" i="20"/>
  <c r="J3" i="20"/>
  <c r="X19" i="20"/>
  <c r="W19" i="20"/>
  <c r="V19" i="20"/>
  <c r="U19" i="20"/>
  <c r="T19" i="20"/>
  <c r="S19" i="20"/>
  <c r="R19" i="20"/>
  <c r="Q19" i="20"/>
  <c r="P19" i="20"/>
  <c r="O19" i="20"/>
  <c r="N19" i="20"/>
  <c r="M19" i="20"/>
  <c r="L19" i="20"/>
  <c r="K19" i="20"/>
  <c r="J19" i="20"/>
  <c r="X18" i="20"/>
  <c r="W18" i="20"/>
  <c r="V18" i="20"/>
  <c r="U18" i="20"/>
  <c r="T18" i="20"/>
  <c r="S18" i="20"/>
  <c r="R18" i="20"/>
  <c r="Q18" i="20"/>
  <c r="P18" i="20"/>
  <c r="O18" i="20"/>
  <c r="N18" i="20"/>
  <c r="M18" i="20"/>
  <c r="L18" i="20"/>
  <c r="K18" i="20"/>
  <c r="J18" i="20"/>
  <c r="X2" i="20"/>
  <c r="W2" i="20"/>
  <c r="V2" i="20"/>
  <c r="U2" i="20"/>
  <c r="T2" i="20"/>
  <c r="S2" i="20"/>
  <c r="R2" i="20"/>
  <c r="Q2" i="20"/>
  <c r="P2" i="20"/>
  <c r="O2" i="20"/>
  <c r="N2" i="20"/>
  <c r="M2" i="20"/>
  <c r="L2" i="20"/>
  <c r="K2" i="20"/>
  <c r="J2" i="20"/>
  <c r="X27" i="20"/>
  <c r="W27" i="20"/>
  <c r="V27" i="20"/>
  <c r="U27" i="20"/>
  <c r="T27" i="20"/>
  <c r="S27" i="20"/>
  <c r="R27" i="20"/>
  <c r="Q27" i="20"/>
  <c r="P27" i="20"/>
  <c r="O27" i="20"/>
  <c r="N27" i="20"/>
  <c r="M27" i="20"/>
  <c r="L27" i="20"/>
  <c r="K27" i="20"/>
  <c r="J27" i="20"/>
  <c r="X11" i="20"/>
  <c r="W11" i="20"/>
  <c r="V11" i="20"/>
  <c r="U11" i="20"/>
  <c r="T11" i="20"/>
  <c r="S11" i="20"/>
  <c r="R11" i="20"/>
  <c r="Q11" i="20"/>
  <c r="P11" i="20"/>
  <c r="O11" i="20"/>
  <c r="N11" i="20"/>
  <c r="M11" i="20"/>
  <c r="L11" i="20"/>
  <c r="K11" i="20"/>
  <c r="J11" i="20"/>
  <c r="X10" i="20"/>
  <c r="W10" i="20"/>
  <c r="V10" i="20"/>
  <c r="U10" i="20"/>
  <c r="T10" i="20"/>
  <c r="S10" i="20"/>
  <c r="R10" i="20"/>
  <c r="Q10" i="20"/>
  <c r="P10" i="20"/>
  <c r="O10" i="20"/>
  <c r="N10" i="20"/>
  <c r="M10" i="20"/>
  <c r="L10" i="20"/>
  <c r="K10" i="20"/>
  <c r="J10" i="20"/>
  <c r="X26" i="20"/>
  <c r="W26" i="20"/>
  <c r="V26" i="20"/>
  <c r="U26" i="20"/>
  <c r="T26" i="20"/>
  <c r="S26" i="20"/>
  <c r="R26" i="20"/>
  <c r="Q26" i="20"/>
  <c r="P26" i="20"/>
  <c r="O26" i="20"/>
  <c r="N26" i="20"/>
  <c r="M26" i="20"/>
  <c r="L26" i="20"/>
  <c r="K26" i="20"/>
  <c r="J26" i="20"/>
  <c r="X25" i="20"/>
  <c r="W25" i="20"/>
  <c r="V25" i="20"/>
  <c r="U25" i="20"/>
  <c r="T25" i="20"/>
  <c r="S25" i="20"/>
  <c r="R25" i="20"/>
  <c r="Q25" i="20"/>
  <c r="P25" i="20"/>
  <c r="O25" i="20"/>
  <c r="N25" i="20"/>
  <c r="D47" i="20" s="1"/>
  <c r="M25" i="20"/>
  <c r="L25" i="20"/>
  <c r="K25" i="20"/>
  <c r="J25" i="20"/>
  <c r="B42" i="19"/>
  <c r="B37" i="19"/>
  <c r="B36" i="19"/>
  <c r="I33" i="19"/>
  <c r="H33" i="19"/>
  <c r="X24" i="19"/>
  <c r="W24" i="19"/>
  <c r="V24" i="19"/>
  <c r="U24" i="19"/>
  <c r="T24" i="19"/>
  <c r="S24" i="19"/>
  <c r="R24" i="19"/>
  <c r="Q24" i="19"/>
  <c r="P24" i="19"/>
  <c r="O24" i="19"/>
  <c r="N24" i="19"/>
  <c r="M24" i="19"/>
  <c r="L24" i="19"/>
  <c r="K24" i="19"/>
  <c r="J24" i="19"/>
  <c r="X9" i="19"/>
  <c r="W9" i="19"/>
  <c r="V9" i="19"/>
  <c r="U9" i="19"/>
  <c r="T9" i="19"/>
  <c r="S9" i="19"/>
  <c r="R9" i="19"/>
  <c r="Q9" i="19"/>
  <c r="P9" i="19"/>
  <c r="O9" i="19"/>
  <c r="N9" i="19"/>
  <c r="M9" i="19"/>
  <c r="L9" i="19"/>
  <c r="K9" i="19"/>
  <c r="J9" i="19"/>
  <c r="X31" i="19"/>
  <c r="W31" i="19"/>
  <c r="V31" i="19"/>
  <c r="U31" i="19"/>
  <c r="T31" i="19"/>
  <c r="S31" i="19"/>
  <c r="R31" i="19"/>
  <c r="Q31" i="19"/>
  <c r="P31" i="19"/>
  <c r="O31" i="19"/>
  <c r="N31" i="19"/>
  <c r="M31" i="19"/>
  <c r="L31" i="19"/>
  <c r="K31" i="19"/>
  <c r="J31" i="19"/>
  <c r="X17" i="19"/>
  <c r="W17" i="19"/>
  <c r="V17" i="19"/>
  <c r="U17" i="19"/>
  <c r="T17" i="19"/>
  <c r="S17" i="19"/>
  <c r="R17" i="19"/>
  <c r="Q17" i="19"/>
  <c r="P17" i="19"/>
  <c r="O17" i="19"/>
  <c r="N17" i="19"/>
  <c r="M17" i="19"/>
  <c r="L17" i="19"/>
  <c r="K17" i="19"/>
  <c r="J17" i="19"/>
  <c r="X16" i="19"/>
  <c r="W16" i="19"/>
  <c r="V16" i="19"/>
  <c r="U16" i="19"/>
  <c r="T16" i="19"/>
  <c r="S16" i="19"/>
  <c r="R16" i="19"/>
  <c r="Q16" i="19"/>
  <c r="P16" i="19"/>
  <c r="O16" i="19"/>
  <c r="N16" i="19"/>
  <c r="M16" i="19"/>
  <c r="L16" i="19"/>
  <c r="K16" i="19"/>
  <c r="J16" i="19"/>
  <c r="X23" i="19"/>
  <c r="W23" i="19"/>
  <c r="V23" i="19"/>
  <c r="U23" i="19"/>
  <c r="T23" i="19"/>
  <c r="S23" i="19"/>
  <c r="R23" i="19"/>
  <c r="Q23" i="19"/>
  <c r="P23" i="19"/>
  <c r="O23" i="19"/>
  <c r="N23" i="19"/>
  <c r="M23" i="19"/>
  <c r="L23" i="19"/>
  <c r="K23" i="19"/>
  <c r="J23" i="19"/>
  <c r="X30" i="19"/>
  <c r="W30" i="19"/>
  <c r="V30" i="19"/>
  <c r="U30" i="19"/>
  <c r="T30" i="19"/>
  <c r="S30" i="19"/>
  <c r="R30" i="19"/>
  <c r="Q30" i="19"/>
  <c r="P30" i="19"/>
  <c r="O30" i="19"/>
  <c r="N30" i="19"/>
  <c r="M30" i="19"/>
  <c r="L30" i="19"/>
  <c r="K30" i="19"/>
  <c r="J30" i="19"/>
  <c r="X8" i="19"/>
  <c r="W8" i="19"/>
  <c r="V8" i="19"/>
  <c r="U8" i="19"/>
  <c r="T8" i="19"/>
  <c r="S8" i="19"/>
  <c r="R8" i="19"/>
  <c r="Q8" i="19"/>
  <c r="P8" i="19"/>
  <c r="O8" i="19"/>
  <c r="N8" i="19"/>
  <c r="M8" i="19"/>
  <c r="L8" i="19"/>
  <c r="K8" i="19"/>
  <c r="J8" i="19"/>
  <c r="X7" i="19"/>
  <c r="W7" i="19"/>
  <c r="V7" i="19"/>
  <c r="U7" i="19"/>
  <c r="T7" i="19"/>
  <c r="S7" i="19"/>
  <c r="R7" i="19"/>
  <c r="Q7" i="19"/>
  <c r="P7" i="19"/>
  <c r="O7" i="19"/>
  <c r="N7" i="19"/>
  <c r="M7" i="19"/>
  <c r="L7" i="19"/>
  <c r="K7" i="19"/>
  <c r="J7" i="19"/>
  <c r="X15" i="19"/>
  <c r="W15" i="19"/>
  <c r="V15" i="19"/>
  <c r="U15" i="19"/>
  <c r="T15" i="19"/>
  <c r="S15" i="19"/>
  <c r="R15" i="19"/>
  <c r="Q15" i="19"/>
  <c r="P15" i="19"/>
  <c r="O15" i="19"/>
  <c r="N15" i="19"/>
  <c r="M15" i="19"/>
  <c r="L15" i="19"/>
  <c r="K15" i="19"/>
  <c r="J15" i="19"/>
  <c r="X6" i="19"/>
  <c r="W6" i="19"/>
  <c r="V6" i="19"/>
  <c r="U6" i="19"/>
  <c r="T6" i="19"/>
  <c r="S6" i="19"/>
  <c r="R6" i="19"/>
  <c r="Q6" i="19"/>
  <c r="P6" i="19"/>
  <c r="O6" i="19"/>
  <c r="N6" i="19"/>
  <c r="M6" i="19"/>
  <c r="L6" i="19"/>
  <c r="K6" i="19"/>
  <c r="J6" i="19"/>
  <c r="X5" i="19"/>
  <c r="W5" i="19"/>
  <c r="V5" i="19"/>
  <c r="U5" i="19"/>
  <c r="T5" i="19"/>
  <c r="S5" i="19"/>
  <c r="R5" i="19"/>
  <c r="Q5" i="19"/>
  <c r="P5" i="19"/>
  <c r="O5" i="19"/>
  <c r="N5" i="19"/>
  <c r="M5" i="19"/>
  <c r="L5" i="19"/>
  <c r="K5" i="19"/>
  <c r="J5" i="19"/>
  <c r="X4" i="19"/>
  <c r="W4" i="19"/>
  <c r="V4" i="19"/>
  <c r="U4" i="19"/>
  <c r="T4" i="19"/>
  <c r="S4" i="19"/>
  <c r="R4" i="19"/>
  <c r="Q4" i="19"/>
  <c r="P4" i="19"/>
  <c r="O4" i="19"/>
  <c r="N4" i="19"/>
  <c r="M4" i="19"/>
  <c r="L4" i="19"/>
  <c r="K4" i="19"/>
  <c r="J4" i="19"/>
  <c r="X22" i="19"/>
  <c r="W22" i="19"/>
  <c r="V22" i="19"/>
  <c r="U22" i="19"/>
  <c r="T22" i="19"/>
  <c r="S22" i="19"/>
  <c r="R22" i="19"/>
  <c r="Q22" i="19"/>
  <c r="P22" i="19"/>
  <c r="O22" i="19"/>
  <c r="N22" i="19"/>
  <c r="M22" i="19"/>
  <c r="L22" i="19"/>
  <c r="K22" i="19"/>
  <c r="J22" i="19"/>
  <c r="X14" i="19"/>
  <c r="W14" i="19"/>
  <c r="V14" i="19"/>
  <c r="U14" i="19"/>
  <c r="T14" i="19"/>
  <c r="S14" i="19"/>
  <c r="R14" i="19"/>
  <c r="Q14" i="19"/>
  <c r="P14" i="19"/>
  <c r="O14" i="19"/>
  <c r="N14" i="19"/>
  <c r="M14" i="19"/>
  <c r="L14" i="19"/>
  <c r="K14" i="19"/>
  <c r="J14" i="19"/>
  <c r="X21" i="19"/>
  <c r="W21" i="19"/>
  <c r="V21" i="19"/>
  <c r="U21" i="19"/>
  <c r="T21" i="19"/>
  <c r="S21" i="19"/>
  <c r="R21" i="19"/>
  <c r="Q21" i="19"/>
  <c r="P21" i="19"/>
  <c r="O21" i="19"/>
  <c r="N21" i="19"/>
  <c r="M21" i="19"/>
  <c r="L21" i="19"/>
  <c r="K21" i="19"/>
  <c r="J21" i="19"/>
  <c r="X29" i="19"/>
  <c r="W29" i="19"/>
  <c r="V29" i="19"/>
  <c r="U29" i="19"/>
  <c r="T29" i="19"/>
  <c r="S29" i="19"/>
  <c r="R29" i="19"/>
  <c r="Q29" i="19"/>
  <c r="P29" i="19"/>
  <c r="O29" i="19"/>
  <c r="N29" i="19"/>
  <c r="M29" i="19"/>
  <c r="L29" i="19"/>
  <c r="K29" i="19"/>
  <c r="J29" i="19"/>
  <c r="X13" i="19"/>
  <c r="W13" i="19"/>
  <c r="V13" i="19"/>
  <c r="U13" i="19"/>
  <c r="T13" i="19"/>
  <c r="S13" i="19"/>
  <c r="R13" i="19"/>
  <c r="Q13" i="19"/>
  <c r="P13" i="19"/>
  <c r="O13" i="19"/>
  <c r="N13" i="19"/>
  <c r="M13" i="19"/>
  <c r="L13" i="19"/>
  <c r="K13" i="19"/>
  <c r="J13" i="19"/>
  <c r="X28" i="19"/>
  <c r="W28" i="19"/>
  <c r="V28" i="19"/>
  <c r="U28" i="19"/>
  <c r="T28" i="19"/>
  <c r="S28" i="19"/>
  <c r="R28" i="19"/>
  <c r="Q28" i="19"/>
  <c r="P28" i="19"/>
  <c r="O28" i="19"/>
  <c r="N28" i="19"/>
  <c r="M28" i="19"/>
  <c r="L28" i="19"/>
  <c r="K28" i="19"/>
  <c r="J28" i="19"/>
  <c r="X12" i="19"/>
  <c r="W12" i="19"/>
  <c r="V12" i="19"/>
  <c r="U12" i="19"/>
  <c r="T12" i="19"/>
  <c r="S12" i="19"/>
  <c r="R12" i="19"/>
  <c r="Q12" i="19"/>
  <c r="P12" i="19"/>
  <c r="O12" i="19"/>
  <c r="N12" i="19"/>
  <c r="M12" i="19"/>
  <c r="L12" i="19"/>
  <c r="K12" i="19"/>
  <c r="J12" i="19"/>
  <c r="X20" i="19"/>
  <c r="W20" i="19"/>
  <c r="V20" i="19"/>
  <c r="U20" i="19"/>
  <c r="T20" i="19"/>
  <c r="S20" i="19"/>
  <c r="R20" i="19"/>
  <c r="Q20" i="19"/>
  <c r="P20" i="19"/>
  <c r="O20" i="19"/>
  <c r="N20" i="19"/>
  <c r="M20" i="19"/>
  <c r="L20" i="19"/>
  <c r="K20" i="19"/>
  <c r="J20" i="19"/>
  <c r="X3" i="19"/>
  <c r="W3" i="19"/>
  <c r="V3" i="19"/>
  <c r="U3" i="19"/>
  <c r="T3" i="19"/>
  <c r="S3" i="19"/>
  <c r="R3" i="19"/>
  <c r="Q3" i="19"/>
  <c r="P3" i="19"/>
  <c r="O3" i="19"/>
  <c r="N3" i="19"/>
  <c r="M3" i="19"/>
  <c r="L3" i="19"/>
  <c r="K3" i="19"/>
  <c r="J3" i="19"/>
  <c r="X19" i="19"/>
  <c r="W19" i="19"/>
  <c r="V19" i="19"/>
  <c r="U19" i="19"/>
  <c r="T19" i="19"/>
  <c r="S19" i="19"/>
  <c r="R19" i="19"/>
  <c r="Q19" i="19"/>
  <c r="P19" i="19"/>
  <c r="O19" i="19"/>
  <c r="N19" i="19"/>
  <c r="M19" i="19"/>
  <c r="L19" i="19"/>
  <c r="K19" i="19"/>
  <c r="J19" i="19"/>
  <c r="X18" i="19"/>
  <c r="W18" i="19"/>
  <c r="V18" i="19"/>
  <c r="U18" i="19"/>
  <c r="T18" i="19"/>
  <c r="S18" i="19"/>
  <c r="R18" i="19"/>
  <c r="Q18" i="19"/>
  <c r="P18" i="19"/>
  <c r="O18" i="19"/>
  <c r="N18" i="19"/>
  <c r="M18" i="19"/>
  <c r="L18" i="19"/>
  <c r="K18" i="19"/>
  <c r="J18" i="19"/>
  <c r="X2" i="19"/>
  <c r="W2" i="19"/>
  <c r="V2" i="19"/>
  <c r="U2" i="19"/>
  <c r="T2" i="19"/>
  <c r="S2" i="19"/>
  <c r="R2" i="19"/>
  <c r="Q2" i="19"/>
  <c r="P2" i="19"/>
  <c r="O2" i="19"/>
  <c r="N2" i="19"/>
  <c r="M2" i="19"/>
  <c r="L2" i="19"/>
  <c r="K2" i="19"/>
  <c r="J2" i="19"/>
  <c r="X27" i="19"/>
  <c r="W27" i="19"/>
  <c r="V27" i="19"/>
  <c r="U27" i="19"/>
  <c r="T27" i="19"/>
  <c r="S27" i="19"/>
  <c r="R27" i="19"/>
  <c r="Q27" i="19"/>
  <c r="P27" i="19"/>
  <c r="O27" i="19"/>
  <c r="N27" i="19"/>
  <c r="M27" i="19"/>
  <c r="L27" i="19"/>
  <c r="K27" i="19"/>
  <c r="J27" i="19"/>
  <c r="X11" i="19"/>
  <c r="W11" i="19"/>
  <c r="V11" i="19"/>
  <c r="U11" i="19"/>
  <c r="T11" i="19"/>
  <c r="S11" i="19"/>
  <c r="R11" i="19"/>
  <c r="Q11" i="19"/>
  <c r="P11" i="19"/>
  <c r="O11" i="19"/>
  <c r="N11" i="19"/>
  <c r="M11" i="19"/>
  <c r="L11" i="19"/>
  <c r="K11" i="19"/>
  <c r="J11" i="19"/>
  <c r="X10" i="19"/>
  <c r="W10" i="19"/>
  <c r="V10" i="19"/>
  <c r="U10" i="19"/>
  <c r="T10" i="19"/>
  <c r="S10" i="19"/>
  <c r="R10" i="19"/>
  <c r="Q10" i="19"/>
  <c r="P10" i="19"/>
  <c r="O10" i="19"/>
  <c r="N10" i="19"/>
  <c r="M10" i="19"/>
  <c r="L10" i="19"/>
  <c r="K10" i="19"/>
  <c r="J10" i="19"/>
  <c r="X26" i="19"/>
  <c r="W26" i="19"/>
  <c r="V26" i="19"/>
  <c r="U26" i="19"/>
  <c r="T26" i="19"/>
  <c r="S26" i="19"/>
  <c r="R26" i="19"/>
  <c r="Q26" i="19"/>
  <c r="P26" i="19"/>
  <c r="O26" i="19"/>
  <c r="N26" i="19"/>
  <c r="M26" i="19"/>
  <c r="L26" i="19"/>
  <c r="K26" i="19"/>
  <c r="J26" i="19"/>
  <c r="X25" i="19"/>
  <c r="W25" i="19"/>
  <c r="V25" i="19"/>
  <c r="U25" i="19"/>
  <c r="T25" i="19"/>
  <c r="S25" i="19"/>
  <c r="R25" i="19"/>
  <c r="Q25" i="19"/>
  <c r="P25" i="19"/>
  <c r="O25" i="19"/>
  <c r="N25" i="19"/>
  <c r="M25" i="19"/>
  <c r="L25" i="19"/>
  <c r="K25" i="19"/>
  <c r="J25" i="19"/>
  <c r="B42" i="18"/>
  <c r="B37" i="18"/>
  <c r="B36" i="18"/>
  <c r="I33" i="18"/>
  <c r="H33" i="18"/>
  <c r="X24" i="18"/>
  <c r="W24" i="18"/>
  <c r="V24" i="18"/>
  <c r="U24" i="18"/>
  <c r="T24" i="18"/>
  <c r="S24" i="18"/>
  <c r="R24" i="18"/>
  <c r="Q24" i="18"/>
  <c r="P24" i="18"/>
  <c r="O24" i="18"/>
  <c r="N24" i="18"/>
  <c r="M24" i="18"/>
  <c r="L24" i="18"/>
  <c r="K24" i="18"/>
  <c r="J24" i="18"/>
  <c r="X9" i="18"/>
  <c r="W9" i="18"/>
  <c r="V9" i="18"/>
  <c r="U9" i="18"/>
  <c r="T9" i="18"/>
  <c r="S9" i="18"/>
  <c r="R9" i="18"/>
  <c r="Q9" i="18"/>
  <c r="P9" i="18"/>
  <c r="O9" i="18"/>
  <c r="N9" i="18"/>
  <c r="M9" i="18"/>
  <c r="L9" i="18"/>
  <c r="K9" i="18"/>
  <c r="J9" i="18"/>
  <c r="X31" i="18"/>
  <c r="W31" i="18"/>
  <c r="V31" i="18"/>
  <c r="U31" i="18"/>
  <c r="T31" i="18"/>
  <c r="S31" i="18"/>
  <c r="R31" i="18"/>
  <c r="Q31" i="18"/>
  <c r="P31" i="18"/>
  <c r="O31" i="18"/>
  <c r="N31" i="18"/>
  <c r="M31" i="18"/>
  <c r="L31" i="18"/>
  <c r="K31" i="18"/>
  <c r="J31" i="18"/>
  <c r="X17" i="18"/>
  <c r="W17" i="18"/>
  <c r="V17" i="18"/>
  <c r="U17" i="18"/>
  <c r="T17" i="18"/>
  <c r="S17" i="18"/>
  <c r="R17" i="18"/>
  <c r="Q17" i="18"/>
  <c r="P17" i="18"/>
  <c r="O17" i="18"/>
  <c r="N17" i="18"/>
  <c r="M17" i="18"/>
  <c r="L17" i="18"/>
  <c r="K17" i="18"/>
  <c r="J17" i="18"/>
  <c r="X16" i="18"/>
  <c r="W16" i="18"/>
  <c r="V16" i="18"/>
  <c r="U16" i="18"/>
  <c r="T16" i="18"/>
  <c r="S16" i="18"/>
  <c r="R16" i="18"/>
  <c r="Q16" i="18"/>
  <c r="P16" i="18"/>
  <c r="O16" i="18"/>
  <c r="N16" i="18"/>
  <c r="M16" i="18"/>
  <c r="L16" i="18"/>
  <c r="K16" i="18"/>
  <c r="J16" i="18"/>
  <c r="X23" i="18"/>
  <c r="W23" i="18"/>
  <c r="V23" i="18"/>
  <c r="U23" i="18"/>
  <c r="T23" i="18"/>
  <c r="S23" i="18"/>
  <c r="R23" i="18"/>
  <c r="Q23" i="18"/>
  <c r="P23" i="18"/>
  <c r="O23" i="18"/>
  <c r="N23" i="18"/>
  <c r="M23" i="18"/>
  <c r="L23" i="18"/>
  <c r="K23" i="18"/>
  <c r="J23" i="18"/>
  <c r="X30" i="18"/>
  <c r="W30" i="18"/>
  <c r="V30" i="18"/>
  <c r="U30" i="18"/>
  <c r="T30" i="18"/>
  <c r="S30" i="18"/>
  <c r="R30" i="18"/>
  <c r="Q30" i="18"/>
  <c r="P30" i="18"/>
  <c r="O30" i="18"/>
  <c r="N30" i="18"/>
  <c r="M30" i="18"/>
  <c r="L30" i="18"/>
  <c r="K30" i="18"/>
  <c r="J30" i="18"/>
  <c r="X8" i="18"/>
  <c r="W8" i="18"/>
  <c r="V8" i="18"/>
  <c r="U8" i="18"/>
  <c r="T8" i="18"/>
  <c r="S8" i="18"/>
  <c r="R8" i="18"/>
  <c r="Q8" i="18"/>
  <c r="P8" i="18"/>
  <c r="O8" i="18"/>
  <c r="N8" i="18"/>
  <c r="M8" i="18"/>
  <c r="L8" i="18"/>
  <c r="K8" i="18"/>
  <c r="J8" i="18"/>
  <c r="X7" i="18"/>
  <c r="W7" i="18"/>
  <c r="V7" i="18"/>
  <c r="U7" i="18"/>
  <c r="T7" i="18"/>
  <c r="S7" i="18"/>
  <c r="R7" i="18"/>
  <c r="Q7" i="18"/>
  <c r="P7" i="18"/>
  <c r="O7" i="18"/>
  <c r="N7" i="18"/>
  <c r="M7" i="18"/>
  <c r="L7" i="18"/>
  <c r="K7" i="18"/>
  <c r="J7" i="18"/>
  <c r="X15" i="18"/>
  <c r="W15" i="18"/>
  <c r="V15" i="18"/>
  <c r="U15" i="18"/>
  <c r="T15" i="18"/>
  <c r="S15" i="18"/>
  <c r="R15" i="18"/>
  <c r="Q15" i="18"/>
  <c r="P15" i="18"/>
  <c r="O15" i="18"/>
  <c r="N15" i="18"/>
  <c r="M15" i="18"/>
  <c r="L15" i="18"/>
  <c r="K15" i="18"/>
  <c r="J15" i="18"/>
  <c r="X6" i="18"/>
  <c r="W6" i="18"/>
  <c r="V6" i="18"/>
  <c r="U6" i="18"/>
  <c r="T6" i="18"/>
  <c r="S6" i="18"/>
  <c r="R6" i="18"/>
  <c r="Q6" i="18"/>
  <c r="P6" i="18"/>
  <c r="O6" i="18"/>
  <c r="N6" i="18"/>
  <c r="M6" i="18"/>
  <c r="L6" i="18"/>
  <c r="K6" i="18"/>
  <c r="J6" i="18"/>
  <c r="X5" i="18"/>
  <c r="W5" i="18"/>
  <c r="V5" i="18"/>
  <c r="U5" i="18"/>
  <c r="T5" i="18"/>
  <c r="S5" i="18"/>
  <c r="R5" i="18"/>
  <c r="Q5" i="18"/>
  <c r="P5" i="18"/>
  <c r="O5" i="18"/>
  <c r="N5" i="18"/>
  <c r="M5" i="18"/>
  <c r="L5" i="18"/>
  <c r="K5" i="18"/>
  <c r="J5" i="18"/>
  <c r="X4" i="18"/>
  <c r="W4" i="18"/>
  <c r="V4" i="18"/>
  <c r="U4" i="18"/>
  <c r="T4" i="18"/>
  <c r="S4" i="18"/>
  <c r="R4" i="18"/>
  <c r="Q4" i="18"/>
  <c r="P4" i="18"/>
  <c r="O4" i="18"/>
  <c r="N4" i="18"/>
  <c r="M4" i="18"/>
  <c r="L4" i="18"/>
  <c r="K4" i="18"/>
  <c r="J4" i="18"/>
  <c r="X22" i="18"/>
  <c r="W22" i="18"/>
  <c r="V22" i="18"/>
  <c r="U22" i="18"/>
  <c r="T22" i="18"/>
  <c r="S22" i="18"/>
  <c r="R22" i="18"/>
  <c r="Q22" i="18"/>
  <c r="P22" i="18"/>
  <c r="O22" i="18"/>
  <c r="N22" i="18"/>
  <c r="M22" i="18"/>
  <c r="L22" i="18"/>
  <c r="K22" i="18"/>
  <c r="J22" i="18"/>
  <c r="X14" i="18"/>
  <c r="W14" i="18"/>
  <c r="V14" i="18"/>
  <c r="U14" i="18"/>
  <c r="T14" i="18"/>
  <c r="S14" i="18"/>
  <c r="R14" i="18"/>
  <c r="Q14" i="18"/>
  <c r="P14" i="18"/>
  <c r="O14" i="18"/>
  <c r="N14" i="18"/>
  <c r="M14" i="18"/>
  <c r="L14" i="18"/>
  <c r="K14" i="18"/>
  <c r="J14" i="18"/>
  <c r="X21" i="18"/>
  <c r="W21" i="18"/>
  <c r="V21" i="18"/>
  <c r="U21" i="18"/>
  <c r="T21" i="18"/>
  <c r="S21" i="18"/>
  <c r="R21" i="18"/>
  <c r="Q21" i="18"/>
  <c r="P21" i="18"/>
  <c r="O21" i="18"/>
  <c r="N21" i="18"/>
  <c r="M21" i="18"/>
  <c r="L21" i="18"/>
  <c r="K21" i="18"/>
  <c r="J21" i="18"/>
  <c r="X29" i="18"/>
  <c r="W29" i="18"/>
  <c r="V29" i="18"/>
  <c r="U29" i="18"/>
  <c r="T29" i="18"/>
  <c r="S29" i="18"/>
  <c r="R29" i="18"/>
  <c r="Q29" i="18"/>
  <c r="P29" i="18"/>
  <c r="O29" i="18"/>
  <c r="N29" i="18"/>
  <c r="M29" i="18"/>
  <c r="L29" i="18"/>
  <c r="K29" i="18"/>
  <c r="J29" i="18"/>
  <c r="X13" i="18"/>
  <c r="W13" i="18"/>
  <c r="V13" i="18"/>
  <c r="U13" i="18"/>
  <c r="T13" i="18"/>
  <c r="S13" i="18"/>
  <c r="R13" i="18"/>
  <c r="Q13" i="18"/>
  <c r="P13" i="18"/>
  <c r="O13" i="18"/>
  <c r="N13" i="18"/>
  <c r="M13" i="18"/>
  <c r="L13" i="18"/>
  <c r="K13" i="18"/>
  <c r="J13" i="18"/>
  <c r="X28" i="18"/>
  <c r="W28" i="18"/>
  <c r="V28" i="18"/>
  <c r="U28" i="18"/>
  <c r="T28" i="18"/>
  <c r="S28" i="18"/>
  <c r="R28" i="18"/>
  <c r="Q28" i="18"/>
  <c r="P28" i="18"/>
  <c r="O28" i="18"/>
  <c r="N28" i="18"/>
  <c r="M28" i="18"/>
  <c r="L28" i="18"/>
  <c r="K28" i="18"/>
  <c r="J28" i="18"/>
  <c r="X12" i="18"/>
  <c r="W12" i="18"/>
  <c r="V12" i="18"/>
  <c r="U12" i="18"/>
  <c r="T12" i="18"/>
  <c r="S12" i="18"/>
  <c r="R12" i="18"/>
  <c r="Q12" i="18"/>
  <c r="P12" i="18"/>
  <c r="O12" i="18"/>
  <c r="N12" i="18"/>
  <c r="M12" i="18"/>
  <c r="L12" i="18"/>
  <c r="K12" i="18"/>
  <c r="J12" i="18"/>
  <c r="X20" i="18"/>
  <c r="W20" i="18"/>
  <c r="V20" i="18"/>
  <c r="U20" i="18"/>
  <c r="T20" i="18"/>
  <c r="S20" i="18"/>
  <c r="R20" i="18"/>
  <c r="Q20" i="18"/>
  <c r="P20" i="18"/>
  <c r="O20" i="18"/>
  <c r="N20" i="18"/>
  <c r="M20" i="18"/>
  <c r="L20" i="18"/>
  <c r="K20" i="18"/>
  <c r="J20" i="18"/>
  <c r="X3" i="18"/>
  <c r="W3" i="18"/>
  <c r="V3" i="18"/>
  <c r="U3" i="18"/>
  <c r="T3" i="18"/>
  <c r="S3" i="18"/>
  <c r="R3" i="18"/>
  <c r="Q3" i="18"/>
  <c r="P3" i="18"/>
  <c r="O3" i="18"/>
  <c r="N3" i="18"/>
  <c r="M3" i="18"/>
  <c r="L3" i="18"/>
  <c r="K3" i="18"/>
  <c r="J3" i="18"/>
  <c r="X19" i="18"/>
  <c r="W19" i="18"/>
  <c r="V19" i="18"/>
  <c r="U19" i="18"/>
  <c r="T19" i="18"/>
  <c r="S19" i="18"/>
  <c r="R19" i="18"/>
  <c r="Q19" i="18"/>
  <c r="P19" i="18"/>
  <c r="O19" i="18"/>
  <c r="N19" i="18"/>
  <c r="M19" i="18"/>
  <c r="L19" i="18"/>
  <c r="K19" i="18"/>
  <c r="J19" i="18"/>
  <c r="X18" i="18"/>
  <c r="W18" i="18"/>
  <c r="V18" i="18"/>
  <c r="U18" i="18"/>
  <c r="T18" i="18"/>
  <c r="S18" i="18"/>
  <c r="R18" i="18"/>
  <c r="Q18" i="18"/>
  <c r="P18" i="18"/>
  <c r="O18" i="18"/>
  <c r="N18" i="18"/>
  <c r="M18" i="18"/>
  <c r="L18" i="18"/>
  <c r="K18" i="18"/>
  <c r="J18" i="18"/>
  <c r="X2" i="18"/>
  <c r="W2" i="18"/>
  <c r="V2" i="18"/>
  <c r="U2" i="18"/>
  <c r="T2" i="18"/>
  <c r="S2" i="18"/>
  <c r="R2" i="18"/>
  <c r="Q2" i="18"/>
  <c r="P2" i="18"/>
  <c r="O2" i="18"/>
  <c r="N2" i="18"/>
  <c r="M2" i="18"/>
  <c r="L2" i="18"/>
  <c r="K2" i="18"/>
  <c r="J2" i="18"/>
  <c r="X27" i="18"/>
  <c r="W27" i="18"/>
  <c r="V27" i="18"/>
  <c r="U27" i="18"/>
  <c r="T27" i="18"/>
  <c r="S27" i="18"/>
  <c r="R27" i="18"/>
  <c r="Q27" i="18"/>
  <c r="P27" i="18"/>
  <c r="O27" i="18"/>
  <c r="N27" i="18"/>
  <c r="M27" i="18"/>
  <c r="L27" i="18"/>
  <c r="K27" i="18"/>
  <c r="J27" i="18"/>
  <c r="X11" i="18"/>
  <c r="W11" i="18"/>
  <c r="V11" i="18"/>
  <c r="U11" i="18"/>
  <c r="T11" i="18"/>
  <c r="S11" i="18"/>
  <c r="R11" i="18"/>
  <c r="Q11" i="18"/>
  <c r="P11" i="18"/>
  <c r="O11" i="18"/>
  <c r="N11" i="18"/>
  <c r="M11" i="18"/>
  <c r="L11" i="18"/>
  <c r="K11" i="18"/>
  <c r="J11" i="18"/>
  <c r="X10" i="18"/>
  <c r="W10" i="18"/>
  <c r="V10" i="18"/>
  <c r="U10" i="18"/>
  <c r="T10" i="18"/>
  <c r="S10" i="18"/>
  <c r="R10" i="18"/>
  <c r="Q10" i="18"/>
  <c r="P10" i="18"/>
  <c r="O10" i="18"/>
  <c r="N10" i="18"/>
  <c r="M10" i="18"/>
  <c r="L10" i="18"/>
  <c r="K10" i="18"/>
  <c r="J10" i="18"/>
  <c r="X26" i="18"/>
  <c r="W26" i="18"/>
  <c r="V26" i="18"/>
  <c r="U26" i="18"/>
  <c r="T26" i="18"/>
  <c r="S26" i="18"/>
  <c r="R26" i="18"/>
  <c r="Q26" i="18"/>
  <c r="P26" i="18"/>
  <c r="O26" i="18"/>
  <c r="N26" i="18"/>
  <c r="M26" i="18"/>
  <c r="L26" i="18"/>
  <c r="K26" i="18"/>
  <c r="J26" i="18"/>
  <c r="X25" i="18"/>
  <c r="W25" i="18"/>
  <c r="V25" i="18"/>
  <c r="U25" i="18"/>
  <c r="T25" i="18"/>
  <c r="S25" i="18"/>
  <c r="R25" i="18"/>
  <c r="Q25" i="18"/>
  <c r="P25" i="18"/>
  <c r="O25" i="18"/>
  <c r="N25" i="18"/>
  <c r="M25" i="18"/>
  <c r="L25" i="18"/>
  <c r="K25" i="18"/>
  <c r="J25" i="18"/>
  <c r="B42" i="17"/>
  <c r="B37" i="17"/>
  <c r="B36" i="17"/>
  <c r="I33" i="17"/>
  <c r="H33" i="17"/>
  <c r="X24" i="17"/>
  <c r="W24" i="17"/>
  <c r="V24" i="17"/>
  <c r="U24" i="17"/>
  <c r="T24" i="17"/>
  <c r="S24" i="17"/>
  <c r="R24" i="17"/>
  <c r="Q24" i="17"/>
  <c r="P24" i="17"/>
  <c r="O24" i="17"/>
  <c r="N24" i="17"/>
  <c r="M24" i="17"/>
  <c r="L24" i="17"/>
  <c r="K24" i="17"/>
  <c r="J24" i="17"/>
  <c r="X9" i="17"/>
  <c r="W9" i="17"/>
  <c r="V9" i="17"/>
  <c r="U9" i="17"/>
  <c r="T9" i="17"/>
  <c r="S9" i="17"/>
  <c r="R9" i="17"/>
  <c r="Q9" i="17"/>
  <c r="P9" i="17"/>
  <c r="O9" i="17"/>
  <c r="N9" i="17"/>
  <c r="M9" i="17"/>
  <c r="L9" i="17"/>
  <c r="K9" i="17"/>
  <c r="J9" i="17"/>
  <c r="X31" i="17"/>
  <c r="W31" i="17"/>
  <c r="V31" i="17"/>
  <c r="U31" i="17"/>
  <c r="T31" i="17"/>
  <c r="S31" i="17"/>
  <c r="R31" i="17"/>
  <c r="Q31" i="17"/>
  <c r="P31" i="17"/>
  <c r="O31" i="17"/>
  <c r="N31" i="17"/>
  <c r="M31" i="17"/>
  <c r="L31" i="17"/>
  <c r="K31" i="17"/>
  <c r="J31" i="17"/>
  <c r="X17" i="17"/>
  <c r="W17" i="17"/>
  <c r="V17" i="17"/>
  <c r="U17" i="17"/>
  <c r="T17" i="17"/>
  <c r="S17" i="17"/>
  <c r="R17" i="17"/>
  <c r="Q17" i="17"/>
  <c r="P17" i="17"/>
  <c r="O17" i="17"/>
  <c r="N17" i="17"/>
  <c r="M17" i="17"/>
  <c r="L17" i="17"/>
  <c r="K17" i="17"/>
  <c r="J17" i="17"/>
  <c r="X16" i="17"/>
  <c r="W16" i="17"/>
  <c r="V16" i="17"/>
  <c r="U16" i="17"/>
  <c r="T16" i="17"/>
  <c r="S16" i="17"/>
  <c r="R16" i="17"/>
  <c r="Q16" i="17"/>
  <c r="P16" i="17"/>
  <c r="O16" i="17"/>
  <c r="N16" i="17"/>
  <c r="M16" i="17"/>
  <c r="L16" i="17"/>
  <c r="K16" i="17"/>
  <c r="J16" i="17"/>
  <c r="X23" i="17"/>
  <c r="W23" i="17"/>
  <c r="V23" i="17"/>
  <c r="U23" i="17"/>
  <c r="T23" i="17"/>
  <c r="S23" i="17"/>
  <c r="R23" i="17"/>
  <c r="Q23" i="17"/>
  <c r="P23" i="17"/>
  <c r="O23" i="17"/>
  <c r="N23" i="17"/>
  <c r="M23" i="17"/>
  <c r="L23" i="17"/>
  <c r="K23" i="17"/>
  <c r="J23" i="17"/>
  <c r="X30" i="17"/>
  <c r="W30" i="17"/>
  <c r="V30" i="17"/>
  <c r="U30" i="17"/>
  <c r="T30" i="17"/>
  <c r="S30" i="17"/>
  <c r="R30" i="17"/>
  <c r="Q30" i="17"/>
  <c r="P30" i="17"/>
  <c r="O30" i="17"/>
  <c r="N30" i="17"/>
  <c r="M30" i="17"/>
  <c r="L30" i="17"/>
  <c r="K30" i="17"/>
  <c r="J30" i="17"/>
  <c r="X8" i="17"/>
  <c r="W8" i="17"/>
  <c r="V8" i="17"/>
  <c r="U8" i="17"/>
  <c r="T8" i="17"/>
  <c r="S8" i="17"/>
  <c r="R8" i="17"/>
  <c r="Q8" i="17"/>
  <c r="P8" i="17"/>
  <c r="O8" i="17"/>
  <c r="N8" i="17"/>
  <c r="M8" i="17"/>
  <c r="L8" i="17"/>
  <c r="K8" i="17"/>
  <c r="J8" i="17"/>
  <c r="X7" i="17"/>
  <c r="W7" i="17"/>
  <c r="V7" i="17"/>
  <c r="U7" i="17"/>
  <c r="T7" i="17"/>
  <c r="S7" i="17"/>
  <c r="R7" i="17"/>
  <c r="Q7" i="17"/>
  <c r="P7" i="17"/>
  <c r="O7" i="17"/>
  <c r="N7" i="17"/>
  <c r="M7" i="17"/>
  <c r="L7" i="17"/>
  <c r="K7" i="17"/>
  <c r="J7" i="17"/>
  <c r="X15" i="17"/>
  <c r="W15" i="17"/>
  <c r="V15" i="17"/>
  <c r="U15" i="17"/>
  <c r="T15" i="17"/>
  <c r="S15" i="17"/>
  <c r="R15" i="17"/>
  <c r="Q15" i="17"/>
  <c r="P15" i="17"/>
  <c r="O15" i="17"/>
  <c r="N15" i="17"/>
  <c r="M15" i="17"/>
  <c r="L15" i="17"/>
  <c r="K15" i="17"/>
  <c r="J15" i="17"/>
  <c r="X6" i="17"/>
  <c r="W6" i="17"/>
  <c r="V6" i="17"/>
  <c r="U6" i="17"/>
  <c r="T6" i="17"/>
  <c r="S6" i="17"/>
  <c r="R6" i="17"/>
  <c r="Q6" i="17"/>
  <c r="P6" i="17"/>
  <c r="O6" i="17"/>
  <c r="N6" i="17"/>
  <c r="M6" i="17"/>
  <c r="L6" i="17"/>
  <c r="K6" i="17"/>
  <c r="J6" i="17"/>
  <c r="X5" i="17"/>
  <c r="W5" i="17"/>
  <c r="V5" i="17"/>
  <c r="U5" i="17"/>
  <c r="T5" i="17"/>
  <c r="S5" i="17"/>
  <c r="R5" i="17"/>
  <c r="Q5" i="17"/>
  <c r="P5" i="17"/>
  <c r="O5" i="17"/>
  <c r="N5" i="17"/>
  <c r="M5" i="17"/>
  <c r="L5" i="17"/>
  <c r="K5" i="17"/>
  <c r="J5" i="17"/>
  <c r="X4" i="17"/>
  <c r="W4" i="17"/>
  <c r="V4" i="17"/>
  <c r="U4" i="17"/>
  <c r="T4" i="17"/>
  <c r="S4" i="17"/>
  <c r="R4" i="17"/>
  <c r="Q4" i="17"/>
  <c r="P4" i="17"/>
  <c r="O4" i="17"/>
  <c r="N4" i="17"/>
  <c r="M4" i="17"/>
  <c r="L4" i="17"/>
  <c r="K4" i="17"/>
  <c r="J4" i="17"/>
  <c r="X22" i="17"/>
  <c r="W22" i="17"/>
  <c r="V22" i="17"/>
  <c r="U22" i="17"/>
  <c r="T22" i="17"/>
  <c r="S22" i="17"/>
  <c r="R22" i="17"/>
  <c r="Q22" i="17"/>
  <c r="P22" i="17"/>
  <c r="O22" i="17"/>
  <c r="N22" i="17"/>
  <c r="M22" i="17"/>
  <c r="L22" i="17"/>
  <c r="K22" i="17"/>
  <c r="J22" i="17"/>
  <c r="X14" i="17"/>
  <c r="W14" i="17"/>
  <c r="V14" i="17"/>
  <c r="U14" i="17"/>
  <c r="T14" i="17"/>
  <c r="S14" i="17"/>
  <c r="R14" i="17"/>
  <c r="Q14" i="17"/>
  <c r="P14" i="17"/>
  <c r="O14" i="17"/>
  <c r="N14" i="17"/>
  <c r="M14" i="17"/>
  <c r="L14" i="17"/>
  <c r="K14" i="17"/>
  <c r="J14" i="17"/>
  <c r="X21" i="17"/>
  <c r="W21" i="17"/>
  <c r="V21" i="17"/>
  <c r="U21" i="17"/>
  <c r="T21" i="17"/>
  <c r="S21" i="17"/>
  <c r="R21" i="17"/>
  <c r="Q21" i="17"/>
  <c r="P21" i="17"/>
  <c r="O21" i="17"/>
  <c r="N21" i="17"/>
  <c r="M21" i="17"/>
  <c r="L21" i="17"/>
  <c r="K21" i="17"/>
  <c r="J21" i="17"/>
  <c r="X29" i="17"/>
  <c r="W29" i="17"/>
  <c r="V29" i="17"/>
  <c r="U29" i="17"/>
  <c r="T29" i="17"/>
  <c r="S29" i="17"/>
  <c r="R29" i="17"/>
  <c r="Q29" i="17"/>
  <c r="P29" i="17"/>
  <c r="O29" i="17"/>
  <c r="N29" i="17"/>
  <c r="M29" i="17"/>
  <c r="L29" i="17"/>
  <c r="K29" i="17"/>
  <c r="J29" i="17"/>
  <c r="X13" i="17"/>
  <c r="W13" i="17"/>
  <c r="V13" i="17"/>
  <c r="U13" i="17"/>
  <c r="T13" i="17"/>
  <c r="S13" i="17"/>
  <c r="R13" i="17"/>
  <c r="Q13" i="17"/>
  <c r="P13" i="17"/>
  <c r="O13" i="17"/>
  <c r="N13" i="17"/>
  <c r="M13" i="17"/>
  <c r="L13" i="17"/>
  <c r="K13" i="17"/>
  <c r="J13" i="17"/>
  <c r="X28" i="17"/>
  <c r="W28" i="17"/>
  <c r="V28" i="17"/>
  <c r="U28" i="17"/>
  <c r="T28" i="17"/>
  <c r="S28" i="17"/>
  <c r="R28" i="17"/>
  <c r="Q28" i="17"/>
  <c r="P28" i="17"/>
  <c r="O28" i="17"/>
  <c r="N28" i="17"/>
  <c r="M28" i="17"/>
  <c r="L28" i="17"/>
  <c r="K28" i="17"/>
  <c r="J28" i="17"/>
  <c r="X12" i="17"/>
  <c r="W12" i="17"/>
  <c r="V12" i="17"/>
  <c r="U12" i="17"/>
  <c r="T12" i="17"/>
  <c r="S12" i="17"/>
  <c r="R12" i="17"/>
  <c r="Q12" i="17"/>
  <c r="P12" i="17"/>
  <c r="O12" i="17"/>
  <c r="N12" i="17"/>
  <c r="M12" i="17"/>
  <c r="L12" i="17"/>
  <c r="K12" i="17"/>
  <c r="J12" i="17"/>
  <c r="X20" i="17"/>
  <c r="W20" i="17"/>
  <c r="V20" i="17"/>
  <c r="U20" i="17"/>
  <c r="T20" i="17"/>
  <c r="S20" i="17"/>
  <c r="R20" i="17"/>
  <c r="Q20" i="17"/>
  <c r="P20" i="17"/>
  <c r="O20" i="17"/>
  <c r="N20" i="17"/>
  <c r="M20" i="17"/>
  <c r="L20" i="17"/>
  <c r="K20" i="17"/>
  <c r="J20" i="17"/>
  <c r="X3" i="17"/>
  <c r="W3" i="17"/>
  <c r="V3" i="17"/>
  <c r="U3" i="17"/>
  <c r="T3" i="17"/>
  <c r="S3" i="17"/>
  <c r="R3" i="17"/>
  <c r="Q3" i="17"/>
  <c r="P3" i="17"/>
  <c r="O3" i="17"/>
  <c r="N3" i="17"/>
  <c r="M3" i="17"/>
  <c r="L3" i="17"/>
  <c r="K3" i="17"/>
  <c r="J3" i="17"/>
  <c r="X19" i="17"/>
  <c r="W19" i="17"/>
  <c r="V19" i="17"/>
  <c r="U19" i="17"/>
  <c r="T19" i="17"/>
  <c r="S19" i="17"/>
  <c r="R19" i="17"/>
  <c r="Q19" i="17"/>
  <c r="P19" i="17"/>
  <c r="O19" i="17"/>
  <c r="N19" i="17"/>
  <c r="M19" i="17"/>
  <c r="L19" i="17"/>
  <c r="K19" i="17"/>
  <c r="J19" i="17"/>
  <c r="X18" i="17"/>
  <c r="W18" i="17"/>
  <c r="V18" i="17"/>
  <c r="U18" i="17"/>
  <c r="T18" i="17"/>
  <c r="S18" i="17"/>
  <c r="R18" i="17"/>
  <c r="Q18" i="17"/>
  <c r="P18" i="17"/>
  <c r="O18" i="17"/>
  <c r="N18" i="17"/>
  <c r="M18" i="17"/>
  <c r="L18" i="17"/>
  <c r="K18" i="17"/>
  <c r="J18" i="17"/>
  <c r="X2" i="17"/>
  <c r="W2" i="17"/>
  <c r="V2" i="17"/>
  <c r="U2" i="17"/>
  <c r="T2" i="17"/>
  <c r="S2" i="17"/>
  <c r="R2" i="17"/>
  <c r="Q2" i="17"/>
  <c r="P2" i="17"/>
  <c r="O2" i="17"/>
  <c r="N2" i="17"/>
  <c r="M2" i="17"/>
  <c r="L2" i="17"/>
  <c r="K2" i="17"/>
  <c r="J2" i="17"/>
  <c r="X27" i="17"/>
  <c r="W27" i="17"/>
  <c r="V27" i="17"/>
  <c r="U27" i="17"/>
  <c r="T27" i="17"/>
  <c r="S27" i="17"/>
  <c r="R27" i="17"/>
  <c r="Q27" i="17"/>
  <c r="P27" i="17"/>
  <c r="O27" i="17"/>
  <c r="N27" i="17"/>
  <c r="M27" i="17"/>
  <c r="L27" i="17"/>
  <c r="K27" i="17"/>
  <c r="J27" i="17"/>
  <c r="X11" i="17"/>
  <c r="W11" i="17"/>
  <c r="V11" i="17"/>
  <c r="U11" i="17"/>
  <c r="T11" i="17"/>
  <c r="S11" i="17"/>
  <c r="R11" i="17"/>
  <c r="Q11" i="17"/>
  <c r="P11" i="17"/>
  <c r="O11" i="17"/>
  <c r="N11" i="17"/>
  <c r="M11" i="17"/>
  <c r="L11" i="17"/>
  <c r="K11" i="17"/>
  <c r="J11" i="17"/>
  <c r="X10" i="17"/>
  <c r="W10" i="17"/>
  <c r="V10" i="17"/>
  <c r="U10" i="17"/>
  <c r="T10" i="17"/>
  <c r="S10" i="17"/>
  <c r="R10" i="17"/>
  <c r="Q10" i="17"/>
  <c r="P10" i="17"/>
  <c r="O10" i="17"/>
  <c r="N10" i="17"/>
  <c r="M10" i="17"/>
  <c r="L10" i="17"/>
  <c r="K10" i="17"/>
  <c r="J10" i="17"/>
  <c r="X26" i="17"/>
  <c r="W26" i="17"/>
  <c r="V26" i="17"/>
  <c r="U26" i="17"/>
  <c r="T26" i="17"/>
  <c r="S26" i="17"/>
  <c r="R26" i="17"/>
  <c r="Q26" i="17"/>
  <c r="P26" i="17"/>
  <c r="O26" i="17"/>
  <c r="N26" i="17"/>
  <c r="M26" i="17"/>
  <c r="L26" i="17"/>
  <c r="K26" i="17"/>
  <c r="J26" i="17"/>
  <c r="X25" i="17"/>
  <c r="W25" i="17"/>
  <c r="V25" i="17"/>
  <c r="U25" i="17"/>
  <c r="T25" i="17"/>
  <c r="S25" i="17"/>
  <c r="R25" i="17"/>
  <c r="Q25" i="17"/>
  <c r="P25" i="17"/>
  <c r="O25" i="17"/>
  <c r="N25" i="17"/>
  <c r="M25" i="17"/>
  <c r="L25" i="17"/>
  <c r="K25" i="17"/>
  <c r="J25" i="17"/>
  <c r="B42" i="16"/>
  <c r="B37" i="16"/>
  <c r="B36" i="16"/>
  <c r="I33" i="16"/>
  <c r="H33" i="16"/>
  <c r="X24" i="16"/>
  <c r="W24" i="16"/>
  <c r="V24" i="16"/>
  <c r="U24" i="16"/>
  <c r="T24" i="16"/>
  <c r="S24" i="16"/>
  <c r="R24" i="16"/>
  <c r="Q24" i="16"/>
  <c r="P24" i="16"/>
  <c r="O24" i="16"/>
  <c r="N24" i="16"/>
  <c r="M24" i="16"/>
  <c r="L24" i="16"/>
  <c r="K24" i="16"/>
  <c r="J24" i="16"/>
  <c r="X9" i="16"/>
  <c r="W9" i="16"/>
  <c r="V9" i="16"/>
  <c r="U9" i="16"/>
  <c r="T9" i="16"/>
  <c r="S9" i="16"/>
  <c r="R9" i="16"/>
  <c r="Q9" i="16"/>
  <c r="P9" i="16"/>
  <c r="O9" i="16"/>
  <c r="N9" i="16"/>
  <c r="M9" i="16"/>
  <c r="L9" i="16"/>
  <c r="K9" i="16"/>
  <c r="J9" i="16"/>
  <c r="X31" i="16"/>
  <c r="W31" i="16"/>
  <c r="V31" i="16"/>
  <c r="U31" i="16"/>
  <c r="T31" i="16"/>
  <c r="S31" i="16"/>
  <c r="R31" i="16"/>
  <c r="Q31" i="16"/>
  <c r="P31" i="16"/>
  <c r="O31" i="16"/>
  <c r="N31" i="16"/>
  <c r="M31" i="16"/>
  <c r="L31" i="16"/>
  <c r="K31" i="16"/>
  <c r="J31" i="16"/>
  <c r="X17" i="16"/>
  <c r="W17" i="16"/>
  <c r="V17" i="16"/>
  <c r="U17" i="16"/>
  <c r="T17" i="16"/>
  <c r="S17" i="16"/>
  <c r="R17" i="16"/>
  <c r="Q17" i="16"/>
  <c r="P17" i="16"/>
  <c r="O17" i="16"/>
  <c r="N17" i="16"/>
  <c r="M17" i="16"/>
  <c r="L17" i="16"/>
  <c r="K17" i="16"/>
  <c r="J17" i="16"/>
  <c r="X16" i="16"/>
  <c r="W16" i="16"/>
  <c r="V16" i="16"/>
  <c r="U16" i="16"/>
  <c r="T16" i="16"/>
  <c r="S16" i="16"/>
  <c r="R16" i="16"/>
  <c r="Q16" i="16"/>
  <c r="P16" i="16"/>
  <c r="O16" i="16"/>
  <c r="N16" i="16"/>
  <c r="M16" i="16"/>
  <c r="L16" i="16"/>
  <c r="K16" i="16"/>
  <c r="J16" i="16"/>
  <c r="X23" i="16"/>
  <c r="W23" i="16"/>
  <c r="V23" i="16"/>
  <c r="U23" i="16"/>
  <c r="T23" i="16"/>
  <c r="S23" i="16"/>
  <c r="R23" i="16"/>
  <c r="Q23" i="16"/>
  <c r="P23" i="16"/>
  <c r="O23" i="16"/>
  <c r="N23" i="16"/>
  <c r="M23" i="16"/>
  <c r="L23" i="16"/>
  <c r="K23" i="16"/>
  <c r="J23" i="16"/>
  <c r="X30" i="16"/>
  <c r="W30" i="16"/>
  <c r="V30" i="16"/>
  <c r="U30" i="16"/>
  <c r="T30" i="16"/>
  <c r="S30" i="16"/>
  <c r="R30" i="16"/>
  <c r="Q30" i="16"/>
  <c r="P30" i="16"/>
  <c r="O30" i="16"/>
  <c r="N30" i="16"/>
  <c r="M30" i="16"/>
  <c r="L30" i="16"/>
  <c r="K30" i="16"/>
  <c r="J30" i="16"/>
  <c r="X8" i="16"/>
  <c r="W8" i="16"/>
  <c r="V8" i="16"/>
  <c r="U8" i="16"/>
  <c r="T8" i="16"/>
  <c r="S8" i="16"/>
  <c r="R8" i="16"/>
  <c r="Q8" i="16"/>
  <c r="P8" i="16"/>
  <c r="O8" i="16"/>
  <c r="N8" i="16"/>
  <c r="M8" i="16"/>
  <c r="L8" i="16"/>
  <c r="K8" i="16"/>
  <c r="J8" i="16"/>
  <c r="X7" i="16"/>
  <c r="W7" i="16"/>
  <c r="V7" i="16"/>
  <c r="U7" i="16"/>
  <c r="T7" i="16"/>
  <c r="S7" i="16"/>
  <c r="R7" i="16"/>
  <c r="Q7" i="16"/>
  <c r="P7" i="16"/>
  <c r="O7" i="16"/>
  <c r="N7" i="16"/>
  <c r="M7" i="16"/>
  <c r="L7" i="16"/>
  <c r="K7" i="16"/>
  <c r="J7" i="16"/>
  <c r="X15" i="16"/>
  <c r="W15" i="16"/>
  <c r="V15" i="16"/>
  <c r="U15" i="16"/>
  <c r="T15" i="16"/>
  <c r="S15" i="16"/>
  <c r="R15" i="16"/>
  <c r="Q15" i="16"/>
  <c r="P15" i="16"/>
  <c r="O15" i="16"/>
  <c r="N15" i="16"/>
  <c r="M15" i="16"/>
  <c r="L15" i="16"/>
  <c r="K15" i="16"/>
  <c r="J15" i="16"/>
  <c r="X6" i="16"/>
  <c r="W6" i="16"/>
  <c r="V6" i="16"/>
  <c r="U6" i="16"/>
  <c r="T6" i="16"/>
  <c r="S6" i="16"/>
  <c r="R6" i="16"/>
  <c r="Q6" i="16"/>
  <c r="P6" i="16"/>
  <c r="O6" i="16"/>
  <c r="N6" i="16"/>
  <c r="M6" i="16"/>
  <c r="L6" i="16"/>
  <c r="K6" i="16"/>
  <c r="J6" i="16"/>
  <c r="X5" i="16"/>
  <c r="W5" i="16"/>
  <c r="V5" i="16"/>
  <c r="U5" i="16"/>
  <c r="T5" i="16"/>
  <c r="S5" i="16"/>
  <c r="R5" i="16"/>
  <c r="Q5" i="16"/>
  <c r="P5" i="16"/>
  <c r="O5" i="16"/>
  <c r="N5" i="16"/>
  <c r="M5" i="16"/>
  <c r="L5" i="16"/>
  <c r="K5" i="16"/>
  <c r="J5" i="16"/>
  <c r="X4" i="16"/>
  <c r="W4" i="16"/>
  <c r="V4" i="16"/>
  <c r="U4" i="16"/>
  <c r="T4" i="16"/>
  <c r="S4" i="16"/>
  <c r="R4" i="16"/>
  <c r="Q4" i="16"/>
  <c r="P4" i="16"/>
  <c r="O4" i="16"/>
  <c r="N4" i="16"/>
  <c r="M4" i="16"/>
  <c r="L4" i="16"/>
  <c r="K4" i="16"/>
  <c r="J4" i="16"/>
  <c r="X22" i="16"/>
  <c r="W22" i="16"/>
  <c r="V22" i="16"/>
  <c r="U22" i="16"/>
  <c r="T22" i="16"/>
  <c r="S22" i="16"/>
  <c r="R22" i="16"/>
  <c r="Q22" i="16"/>
  <c r="P22" i="16"/>
  <c r="O22" i="16"/>
  <c r="N22" i="16"/>
  <c r="M22" i="16"/>
  <c r="L22" i="16"/>
  <c r="K22" i="16"/>
  <c r="J22" i="16"/>
  <c r="X14" i="16"/>
  <c r="W14" i="16"/>
  <c r="V14" i="16"/>
  <c r="U14" i="16"/>
  <c r="T14" i="16"/>
  <c r="S14" i="16"/>
  <c r="R14" i="16"/>
  <c r="Q14" i="16"/>
  <c r="P14" i="16"/>
  <c r="O14" i="16"/>
  <c r="N14" i="16"/>
  <c r="M14" i="16"/>
  <c r="L14" i="16"/>
  <c r="K14" i="16"/>
  <c r="J14" i="16"/>
  <c r="X21" i="16"/>
  <c r="W21" i="16"/>
  <c r="V21" i="16"/>
  <c r="U21" i="16"/>
  <c r="T21" i="16"/>
  <c r="S21" i="16"/>
  <c r="R21" i="16"/>
  <c r="Q21" i="16"/>
  <c r="P21" i="16"/>
  <c r="O21" i="16"/>
  <c r="N21" i="16"/>
  <c r="M21" i="16"/>
  <c r="L21" i="16"/>
  <c r="K21" i="16"/>
  <c r="J21" i="16"/>
  <c r="X29" i="16"/>
  <c r="W29" i="16"/>
  <c r="V29" i="16"/>
  <c r="U29" i="16"/>
  <c r="T29" i="16"/>
  <c r="S29" i="16"/>
  <c r="R29" i="16"/>
  <c r="Q29" i="16"/>
  <c r="P29" i="16"/>
  <c r="O29" i="16"/>
  <c r="N29" i="16"/>
  <c r="M29" i="16"/>
  <c r="L29" i="16"/>
  <c r="K29" i="16"/>
  <c r="J29" i="16"/>
  <c r="X13" i="16"/>
  <c r="W13" i="16"/>
  <c r="V13" i="16"/>
  <c r="U13" i="16"/>
  <c r="T13" i="16"/>
  <c r="S13" i="16"/>
  <c r="R13" i="16"/>
  <c r="Q13" i="16"/>
  <c r="P13" i="16"/>
  <c r="O13" i="16"/>
  <c r="N13" i="16"/>
  <c r="M13" i="16"/>
  <c r="L13" i="16"/>
  <c r="K13" i="16"/>
  <c r="J13" i="16"/>
  <c r="X28" i="16"/>
  <c r="W28" i="16"/>
  <c r="V28" i="16"/>
  <c r="U28" i="16"/>
  <c r="T28" i="16"/>
  <c r="S28" i="16"/>
  <c r="R28" i="16"/>
  <c r="Q28" i="16"/>
  <c r="P28" i="16"/>
  <c r="O28" i="16"/>
  <c r="N28" i="16"/>
  <c r="M28" i="16"/>
  <c r="L28" i="16"/>
  <c r="K28" i="16"/>
  <c r="J28" i="16"/>
  <c r="X12" i="16"/>
  <c r="W12" i="16"/>
  <c r="V12" i="16"/>
  <c r="U12" i="16"/>
  <c r="T12" i="16"/>
  <c r="S12" i="16"/>
  <c r="R12" i="16"/>
  <c r="Q12" i="16"/>
  <c r="P12" i="16"/>
  <c r="O12" i="16"/>
  <c r="N12" i="16"/>
  <c r="M12" i="16"/>
  <c r="L12" i="16"/>
  <c r="K12" i="16"/>
  <c r="J12" i="16"/>
  <c r="X20" i="16"/>
  <c r="W20" i="16"/>
  <c r="V20" i="16"/>
  <c r="U20" i="16"/>
  <c r="T20" i="16"/>
  <c r="S20" i="16"/>
  <c r="R20" i="16"/>
  <c r="Q20" i="16"/>
  <c r="P20" i="16"/>
  <c r="O20" i="16"/>
  <c r="N20" i="16"/>
  <c r="M20" i="16"/>
  <c r="L20" i="16"/>
  <c r="K20" i="16"/>
  <c r="J20" i="16"/>
  <c r="X3" i="16"/>
  <c r="W3" i="16"/>
  <c r="V3" i="16"/>
  <c r="U3" i="16"/>
  <c r="T3" i="16"/>
  <c r="S3" i="16"/>
  <c r="R3" i="16"/>
  <c r="Q3" i="16"/>
  <c r="P3" i="16"/>
  <c r="O3" i="16"/>
  <c r="N3" i="16"/>
  <c r="M3" i="16"/>
  <c r="L3" i="16"/>
  <c r="K3" i="16"/>
  <c r="J3" i="16"/>
  <c r="X19" i="16"/>
  <c r="W19" i="16"/>
  <c r="V19" i="16"/>
  <c r="U19" i="16"/>
  <c r="T19" i="16"/>
  <c r="S19" i="16"/>
  <c r="R19" i="16"/>
  <c r="Q19" i="16"/>
  <c r="P19" i="16"/>
  <c r="O19" i="16"/>
  <c r="N19" i="16"/>
  <c r="M19" i="16"/>
  <c r="L19" i="16"/>
  <c r="K19" i="16"/>
  <c r="J19" i="16"/>
  <c r="X18" i="16"/>
  <c r="W18" i="16"/>
  <c r="V18" i="16"/>
  <c r="U18" i="16"/>
  <c r="T18" i="16"/>
  <c r="S18" i="16"/>
  <c r="R18" i="16"/>
  <c r="Q18" i="16"/>
  <c r="P18" i="16"/>
  <c r="O18" i="16"/>
  <c r="N18" i="16"/>
  <c r="M18" i="16"/>
  <c r="L18" i="16"/>
  <c r="K18" i="16"/>
  <c r="J18" i="16"/>
  <c r="X2" i="16"/>
  <c r="W2" i="16"/>
  <c r="V2" i="16"/>
  <c r="U2" i="16"/>
  <c r="T2" i="16"/>
  <c r="S2" i="16"/>
  <c r="R2" i="16"/>
  <c r="Q2" i="16"/>
  <c r="P2" i="16"/>
  <c r="O2" i="16"/>
  <c r="N2" i="16"/>
  <c r="M2" i="16"/>
  <c r="L2" i="16"/>
  <c r="K2" i="16"/>
  <c r="J2" i="16"/>
  <c r="X27" i="16"/>
  <c r="W27" i="16"/>
  <c r="V27" i="16"/>
  <c r="U27" i="16"/>
  <c r="T27" i="16"/>
  <c r="S27" i="16"/>
  <c r="R27" i="16"/>
  <c r="Q27" i="16"/>
  <c r="P27" i="16"/>
  <c r="O27" i="16"/>
  <c r="N27" i="16"/>
  <c r="M27" i="16"/>
  <c r="L27" i="16"/>
  <c r="K27" i="16"/>
  <c r="J27" i="16"/>
  <c r="X11" i="16"/>
  <c r="W11" i="16"/>
  <c r="V11" i="16"/>
  <c r="U11" i="16"/>
  <c r="T11" i="16"/>
  <c r="S11" i="16"/>
  <c r="R11" i="16"/>
  <c r="Q11" i="16"/>
  <c r="P11" i="16"/>
  <c r="O11" i="16"/>
  <c r="N11" i="16"/>
  <c r="M11" i="16"/>
  <c r="L11" i="16"/>
  <c r="K11" i="16"/>
  <c r="J11" i="16"/>
  <c r="X10" i="16"/>
  <c r="W10" i="16"/>
  <c r="V10" i="16"/>
  <c r="U10" i="16"/>
  <c r="T10" i="16"/>
  <c r="S10" i="16"/>
  <c r="R10" i="16"/>
  <c r="Q10" i="16"/>
  <c r="P10" i="16"/>
  <c r="O10" i="16"/>
  <c r="N10" i="16"/>
  <c r="M10" i="16"/>
  <c r="L10" i="16"/>
  <c r="K10" i="16"/>
  <c r="J10" i="16"/>
  <c r="X26" i="16"/>
  <c r="W26" i="16"/>
  <c r="V26" i="16"/>
  <c r="U26" i="16"/>
  <c r="T26" i="16"/>
  <c r="S26" i="16"/>
  <c r="R26" i="16"/>
  <c r="Q26" i="16"/>
  <c r="P26" i="16"/>
  <c r="O26" i="16"/>
  <c r="N26" i="16"/>
  <c r="M26" i="16"/>
  <c r="L26" i="16"/>
  <c r="K26" i="16"/>
  <c r="J26" i="16"/>
  <c r="X25" i="16"/>
  <c r="W25" i="16"/>
  <c r="V25" i="16"/>
  <c r="U25" i="16"/>
  <c r="T25" i="16"/>
  <c r="S25" i="16"/>
  <c r="R25" i="16"/>
  <c r="Q25" i="16"/>
  <c r="P25" i="16"/>
  <c r="O25" i="16"/>
  <c r="N25" i="16"/>
  <c r="M25" i="16"/>
  <c r="L25" i="16"/>
  <c r="K25" i="16"/>
  <c r="J25" i="16"/>
  <c r="B42" i="15"/>
  <c r="B37" i="15"/>
  <c r="B36" i="15"/>
  <c r="I33" i="15"/>
  <c r="H33" i="15"/>
  <c r="X31" i="15"/>
  <c r="W31" i="15"/>
  <c r="V31" i="15"/>
  <c r="U31" i="15"/>
  <c r="T31" i="15"/>
  <c r="S31" i="15"/>
  <c r="R31" i="15"/>
  <c r="Q31" i="15"/>
  <c r="P31" i="15"/>
  <c r="O31" i="15"/>
  <c r="N31" i="15"/>
  <c r="M31" i="15"/>
  <c r="L31" i="15"/>
  <c r="K31" i="15"/>
  <c r="J31" i="15"/>
  <c r="X30" i="15"/>
  <c r="W30" i="15"/>
  <c r="V30" i="15"/>
  <c r="U30" i="15"/>
  <c r="T30" i="15"/>
  <c r="S30" i="15"/>
  <c r="R30" i="15"/>
  <c r="Q30" i="15"/>
  <c r="P30" i="15"/>
  <c r="O30" i="15"/>
  <c r="N30" i="15"/>
  <c r="M30" i="15"/>
  <c r="L30" i="15"/>
  <c r="K30" i="15"/>
  <c r="J30" i="15"/>
  <c r="X29" i="15"/>
  <c r="W29" i="15"/>
  <c r="V29" i="15"/>
  <c r="U29" i="15"/>
  <c r="T29" i="15"/>
  <c r="S29" i="15"/>
  <c r="R29" i="15"/>
  <c r="Q29" i="15"/>
  <c r="P29" i="15"/>
  <c r="O29" i="15"/>
  <c r="N29" i="15"/>
  <c r="M29" i="15"/>
  <c r="L29" i="15"/>
  <c r="K29" i="15"/>
  <c r="J29" i="15"/>
  <c r="X28" i="15"/>
  <c r="W28" i="15"/>
  <c r="V28" i="15"/>
  <c r="U28" i="15"/>
  <c r="T28" i="15"/>
  <c r="S28" i="15"/>
  <c r="R28" i="15"/>
  <c r="Q28" i="15"/>
  <c r="P28" i="15"/>
  <c r="O28" i="15"/>
  <c r="N28" i="15"/>
  <c r="M28" i="15"/>
  <c r="L28" i="15"/>
  <c r="K28" i="15"/>
  <c r="J28" i="15"/>
  <c r="X27" i="15"/>
  <c r="W27" i="15"/>
  <c r="V27" i="15"/>
  <c r="U27" i="15"/>
  <c r="T27" i="15"/>
  <c r="S27" i="15"/>
  <c r="R27" i="15"/>
  <c r="Q27" i="15"/>
  <c r="P27" i="15"/>
  <c r="O27" i="15"/>
  <c r="N27" i="15"/>
  <c r="M27" i="15"/>
  <c r="L27" i="15"/>
  <c r="K27" i="15"/>
  <c r="J27" i="15"/>
  <c r="X26" i="15"/>
  <c r="W26" i="15"/>
  <c r="V26" i="15"/>
  <c r="U26" i="15"/>
  <c r="T26" i="15"/>
  <c r="S26" i="15"/>
  <c r="R26" i="15"/>
  <c r="Q26" i="15"/>
  <c r="P26" i="15"/>
  <c r="O26" i="15"/>
  <c r="N26" i="15"/>
  <c r="M26" i="15"/>
  <c r="L26" i="15"/>
  <c r="K26" i="15"/>
  <c r="J26" i="15"/>
  <c r="X25" i="15"/>
  <c r="W25" i="15"/>
  <c r="V25" i="15"/>
  <c r="U25" i="15"/>
  <c r="T25" i="15"/>
  <c r="S25" i="15"/>
  <c r="R25" i="15"/>
  <c r="Q25" i="15"/>
  <c r="P25" i="15"/>
  <c r="O25" i="15"/>
  <c r="N25" i="15"/>
  <c r="M25" i="15"/>
  <c r="L25" i="15"/>
  <c r="K25" i="15"/>
  <c r="J25" i="15"/>
  <c r="X24" i="15"/>
  <c r="W24" i="15"/>
  <c r="V24" i="15"/>
  <c r="U24" i="15"/>
  <c r="T24" i="15"/>
  <c r="S24" i="15"/>
  <c r="R24" i="15"/>
  <c r="Q24" i="15"/>
  <c r="P24" i="15"/>
  <c r="O24" i="15"/>
  <c r="N24" i="15"/>
  <c r="M24" i="15"/>
  <c r="L24" i="15"/>
  <c r="K24" i="15"/>
  <c r="J24" i="15"/>
  <c r="X23" i="15"/>
  <c r="W23" i="15"/>
  <c r="V23" i="15"/>
  <c r="U23" i="15"/>
  <c r="T23" i="15"/>
  <c r="S23" i="15"/>
  <c r="R23" i="15"/>
  <c r="Q23" i="15"/>
  <c r="P23" i="15"/>
  <c r="O23" i="15"/>
  <c r="N23" i="15"/>
  <c r="M23" i="15"/>
  <c r="L23" i="15"/>
  <c r="K23" i="15"/>
  <c r="J23" i="15"/>
  <c r="X22" i="15"/>
  <c r="W22" i="15"/>
  <c r="V22" i="15"/>
  <c r="U22" i="15"/>
  <c r="T22" i="15"/>
  <c r="S22" i="15"/>
  <c r="R22" i="15"/>
  <c r="Q22" i="15"/>
  <c r="P22" i="15"/>
  <c r="O22" i="15"/>
  <c r="N22" i="15"/>
  <c r="M22" i="15"/>
  <c r="L22" i="15"/>
  <c r="K22" i="15"/>
  <c r="J22" i="15"/>
  <c r="X21" i="15"/>
  <c r="W21" i="15"/>
  <c r="V21" i="15"/>
  <c r="U21" i="15"/>
  <c r="T21" i="15"/>
  <c r="S21" i="15"/>
  <c r="R21" i="15"/>
  <c r="Q21" i="15"/>
  <c r="P21" i="15"/>
  <c r="O21" i="15"/>
  <c r="N21" i="15"/>
  <c r="M21" i="15"/>
  <c r="L21" i="15"/>
  <c r="K21" i="15"/>
  <c r="J21" i="15"/>
  <c r="X20" i="15"/>
  <c r="W20" i="15"/>
  <c r="V20" i="15"/>
  <c r="U20" i="15"/>
  <c r="T20" i="15"/>
  <c r="S20" i="15"/>
  <c r="R20" i="15"/>
  <c r="Q20" i="15"/>
  <c r="P20" i="15"/>
  <c r="O20" i="15"/>
  <c r="N20" i="15"/>
  <c r="M20" i="15"/>
  <c r="L20" i="15"/>
  <c r="K20" i="15"/>
  <c r="J20" i="15"/>
  <c r="X19" i="15"/>
  <c r="W19" i="15"/>
  <c r="V19" i="15"/>
  <c r="U19" i="15"/>
  <c r="T19" i="15"/>
  <c r="S19" i="15"/>
  <c r="R19" i="15"/>
  <c r="Q19" i="15"/>
  <c r="P19" i="15"/>
  <c r="O19" i="15"/>
  <c r="N19" i="15"/>
  <c r="M19" i="15"/>
  <c r="L19" i="15"/>
  <c r="K19" i="15"/>
  <c r="J19" i="15"/>
  <c r="X18" i="15"/>
  <c r="W18" i="15"/>
  <c r="V18" i="15"/>
  <c r="U18" i="15"/>
  <c r="T18" i="15"/>
  <c r="S18" i="15"/>
  <c r="R18" i="15"/>
  <c r="Q18" i="15"/>
  <c r="P18" i="15"/>
  <c r="O18" i="15"/>
  <c r="N18" i="15"/>
  <c r="M18" i="15"/>
  <c r="L18" i="15"/>
  <c r="K18" i="15"/>
  <c r="J18" i="15"/>
  <c r="X17" i="15"/>
  <c r="W17" i="15"/>
  <c r="V17" i="15"/>
  <c r="U17" i="15"/>
  <c r="T17" i="15"/>
  <c r="S17" i="15"/>
  <c r="R17" i="15"/>
  <c r="Q17" i="15"/>
  <c r="P17" i="15"/>
  <c r="O17" i="15"/>
  <c r="N17" i="15"/>
  <c r="M17" i="15"/>
  <c r="L17" i="15"/>
  <c r="K17" i="15"/>
  <c r="J17" i="15"/>
  <c r="X16" i="15"/>
  <c r="W16" i="15"/>
  <c r="V16" i="15"/>
  <c r="U16" i="15"/>
  <c r="T16" i="15"/>
  <c r="S16" i="15"/>
  <c r="R16" i="15"/>
  <c r="Q16" i="15"/>
  <c r="P16" i="15"/>
  <c r="O16" i="15"/>
  <c r="N16" i="15"/>
  <c r="M16" i="15"/>
  <c r="L16" i="15"/>
  <c r="K16" i="15"/>
  <c r="J16" i="15"/>
  <c r="X15" i="15"/>
  <c r="W15" i="15"/>
  <c r="V15" i="15"/>
  <c r="U15" i="15"/>
  <c r="T15" i="15"/>
  <c r="S15" i="15"/>
  <c r="R15" i="15"/>
  <c r="Q15" i="15"/>
  <c r="P15" i="15"/>
  <c r="O15" i="15"/>
  <c r="N15" i="15"/>
  <c r="M15" i="15"/>
  <c r="L15" i="15"/>
  <c r="K15" i="15"/>
  <c r="J15" i="15"/>
  <c r="X14" i="15"/>
  <c r="W14" i="15"/>
  <c r="V14" i="15"/>
  <c r="U14" i="15"/>
  <c r="T14" i="15"/>
  <c r="S14" i="15"/>
  <c r="R14" i="15"/>
  <c r="Q14" i="15"/>
  <c r="P14" i="15"/>
  <c r="O14" i="15"/>
  <c r="N14" i="15"/>
  <c r="M14" i="15"/>
  <c r="L14" i="15"/>
  <c r="K14" i="15"/>
  <c r="J14" i="15"/>
  <c r="X13" i="15"/>
  <c r="W13" i="15"/>
  <c r="V13" i="15"/>
  <c r="U13" i="15"/>
  <c r="T13" i="15"/>
  <c r="S13" i="15"/>
  <c r="R13" i="15"/>
  <c r="Q13" i="15"/>
  <c r="P13" i="15"/>
  <c r="O13" i="15"/>
  <c r="N13" i="15"/>
  <c r="M13" i="15"/>
  <c r="L13" i="15"/>
  <c r="K13" i="15"/>
  <c r="J13" i="15"/>
  <c r="X12" i="15"/>
  <c r="W12" i="15"/>
  <c r="V12" i="15"/>
  <c r="U12" i="15"/>
  <c r="T12" i="15"/>
  <c r="S12" i="15"/>
  <c r="R12" i="15"/>
  <c r="Q12" i="15"/>
  <c r="P12" i="15"/>
  <c r="O12" i="15"/>
  <c r="N12" i="15"/>
  <c r="M12" i="15"/>
  <c r="L12" i="15"/>
  <c r="K12" i="15"/>
  <c r="J12" i="15"/>
  <c r="X11" i="15"/>
  <c r="W11" i="15"/>
  <c r="V11" i="15"/>
  <c r="U11" i="15"/>
  <c r="T11" i="15"/>
  <c r="S11" i="15"/>
  <c r="R11" i="15"/>
  <c r="Q11" i="15"/>
  <c r="P11" i="15"/>
  <c r="O11" i="15"/>
  <c r="N11" i="15"/>
  <c r="M11" i="15"/>
  <c r="L11" i="15"/>
  <c r="K11" i="15"/>
  <c r="J11" i="15"/>
  <c r="X10" i="15"/>
  <c r="W10" i="15"/>
  <c r="V10" i="15"/>
  <c r="U10" i="15"/>
  <c r="T10" i="15"/>
  <c r="S10" i="15"/>
  <c r="R10" i="15"/>
  <c r="Q10" i="15"/>
  <c r="P10" i="15"/>
  <c r="O10" i="15"/>
  <c r="N10" i="15"/>
  <c r="M10" i="15"/>
  <c r="L10" i="15"/>
  <c r="K10" i="15"/>
  <c r="J10" i="15"/>
  <c r="X9" i="15"/>
  <c r="W9" i="15"/>
  <c r="V9" i="15"/>
  <c r="U9" i="15"/>
  <c r="T9" i="15"/>
  <c r="S9" i="15"/>
  <c r="R9" i="15"/>
  <c r="Q9" i="15"/>
  <c r="P9" i="15"/>
  <c r="O9" i="15"/>
  <c r="N9" i="15"/>
  <c r="M9" i="15"/>
  <c r="L9" i="15"/>
  <c r="K9" i="15"/>
  <c r="J9" i="15"/>
  <c r="X8" i="15"/>
  <c r="W8" i="15"/>
  <c r="V8" i="15"/>
  <c r="U8" i="15"/>
  <c r="T8" i="15"/>
  <c r="S8" i="15"/>
  <c r="R8" i="15"/>
  <c r="Q8" i="15"/>
  <c r="P8" i="15"/>
  <c r="O8" i="15"/>
  <c r="N8" i="15"/>
  <c r="M8" i="15"/>
  <c r="L8" i="15"/>
  <c r="K8" i="15"/>
  <c r="J8" i="15"/>
  <c r="X7" i="15"/>
  <c r="W7" i="15"/>
  <c r="V7" i="15"/>
  <c r="U7" i="15"/>
  <c r="T7" i="15"/>
  <c r="S7" i="15"/>
  <c r="R7" i="15"/>
  <c r="Q7" i="15"/>
  <c r="P7" i="15"/>
  <c r="O7" i="15"/>
  <c r="N7" i="15"/>
  <c r="M7" i="15"/>
  <c r="L7" i="15"/>
  <c r="K7" i="15"/>
  <c r="J7" i="15"/>
  <c r="X6" i="15"/>
  <c r="W6" i="15"/>
  <c r="V6" i="15"/>
  <c r="U6" i="15"/>
  <c r="T6" i="15"/>
  <c r="S6" i="15"/>
  <c r="R6" i="15"/>
  <c r="Q6" i="15"/>
  <c r="P6" i="15"/>
  <c r="O6" i="15"/>
  <c r="N6" i="15"/>
  <c r="M6" i="15"/>
  <c r="L6" i="15"/>
  <c r="K6" i="15"/>
  <c r="J6" i="15"/>
  <c r="X5" i="15"/>
  <c r="W5" i="15"/>
  <c r="V5" i="15"/>
  <c r="U5" i="15"/>
  <c r="T5" i="15"/>
  <c r="S5" i="15"/>
  <c r="R5" i="15"/>
  <c r="Q5" i="15"/>
  <c r="P5" i="15"/>
  <c r="O5" i="15"/>
  <c r="N5" i="15"/>
  <c r="M5" i="15"/>
  <c r="L5" i="15"/>
  <c r="K5" i="15"/>
  <c r="J5" i="15"/>
  <c r="X4" i="15"/>
  <c r="W4" i="15"/>
  <c r="V4" i="15"/>
  <c r="U4" i="15"/>
  <c r="T4" i="15"/>
  <c r="S4" i="15"/>
  <c r="R4" i="15"/>
  <c r="Q4" i="15"/>
  <c r="P4" i="15"/>
  <c r="O4" i="15"/>
  <c r="N4" i="15"/>
  <c r="M4" i="15"/>
  <c r="L4" i="15"/>
  <c r="K4" i="15"/>
  <c r="J4" i="15"/>
  <c r="X3" i="15"/>
  <c r="W3" i="15"/>
  <c r="V3" i="15"/>
  <c r="U3" i="15"/>
  <c r="T3" i="15"/>
  <c r="S3" i="15"/>
  <c r="R3" i="15"/>
  <c r="Q3" i="15"/>
  <c r="P3" i="15"/>
  <c r="O3" i="15"/>
  <c r="N3" i="15"/>
  <c r="M3" i="15"/>
  <c r="L3" i="15"/>
  <c r="K3" i="15"/>
  <c r="J3" i="15"/>
  <c r="X2" i="15"/>
  <c r="W2" i="15"/>
  <c r="V2" i="15"/>
  <c r="U2" i="15"/>
  <c r="T2" i="15"/>
  <c r="S2" i="15"/>
  <c r="R2" i="15"/>
  <c r="Q2" i="15"/>
  <c r="P2" i="15"/>
  <c r="O2" i="15"/>
  <c r="N2" i="15"/>
  <c r="M2" i="15"/>
  <c r="L2" i="15"/>
  <c r="K2" i="15"/>
  <c r="J2" i="15"/>
  <c r="Q26" i="3"/>
  <c r="R26" i="3"/>
  <c r="S26" i="3"/>
  <c r="T26" i="3"/>
  <c r="U26" i="3"/>
  <c r="V26" i="3"/>
  <c r="W26" i="3"/>
  <c r="X26" i="3"/>
  <c r="Q10" i="3"/>
  <c r="R10" i="3"/>
  <c r="S10" i="3"/>
  <c r="T10" i="3"/>
  <c r="U10" i="3"/>
  <c r="V10" i="3"/>
  <c r="W10" i="3"/>
  <c r="X10" i="3"/>
  <c r="Q11" i="3"/>
  <c r="R11" i="3"/>
  <c r="S11" i="3"/>
  <c r="T11" i="3"/>
  <c r="U11" i="3"/>
  <c r="V11" i="3"/>
  <c r="W11" i="3"/>
  <c r="X11" i="3"/>
  <c r="Q27" i="3"/>
  <c r="R27" i="3"/>
  <c r="S27" i="3"/>
  <c r="T27" i="3"/>
  <c r="U27" i="3"/>
  <c r="V27" i="3"/>
  <c r="W27" i="3"/>
  <c r="X27" i="3"/>
  <c r="R2" i="3"/>
  <c r="S2" i="3"/>
  <c r="T2" i="3"/>
  <c r="X2" i="3"/>
  <c r="Q18" i="3"/>
  <c r="R18" i="3"/>
  <c r="S18" i="3"/>
  <c r="T18" i="3"/>
  <c r="U18" i="3"/>
  <c r="V18" i="3"/>
  <c r="W18" i="3"/>
  <c r="X18" i="3"/>
  <c r="Q19" i="3"/>
  <c r="R19" i="3"/>
  <c r="S19" i="3"/>
  <c r="T19" i="3"/>
  <c r="U19" i="3"/>
  <c r="V19" i="3"/>
  <c r="W19" i="3"/>
  <c r="X19" i="3"/>
  <c r="Q3" i="3"/>
  <c r="R3" i="3"/>
  <c r="S3" i="3"/>
  <c r="T3" i="3"/>
  <c r="U3" i="3"/>
  <c r="V3" i="3"/>
  <c r="W3" i="3"/>
  <c r="X3" i="3"/>
  <c r="Q20" i="3"/>
  <c r="R20" i="3"/>
  <c r="S20" i="3"/>
  <c r="T20" i="3"/>
  <c r="U20" i="3"/>
  <c r="V20" i="3"/>
  <c r="W20" i="3"/>
  <c r="X20" i="3"/>
  <c r="Q12" i="3"/>
  <c r="R12" i="3"/>
  <c r="S12" i="3"/>
  <c r="T12" i="3"/>
  <c r="U12" i="3"/>
  <c r="V12" i="3"/>
  <c r="W12" i="3"/>
  <c r="X12" i="3"/>
  <c r="Q28" i="3"/>
  <c r="R28" i="3"/>
  <c r="S28" i="3"/>
  <c r="T28" i="3"/>
  <c r="U28" i="3"/>
  <c r="V28" i="3"/>
  <c r="W28" i="3"/>
  <c r="X28" i="3"/>
  <c r="Q13" i="3"/>
  <c r="R13" i="3"/>
  <c r="S13" i="3"/>
  <c r="T13" i="3"/>
  <c r="U13" i="3"/>
  <c r="V13" i="3"/>
  <c r="W13" i="3"/>
  <c r="X13" i="3"/>
  <c r="Q29" i="3"/>
  <c r="R29" i="3"/>
  <c r="S29" i="3"/>
  <c r="T29" i="3"/>
  <c r="U29" i="3"/>
  <c r="V29" i="3"/>
  <c r="W29" i="3"/>
  <c r="X29" i="3"/>
  <c r="Q21" i="3"/>
  <c r="R21" i="3"/>
  <c r="S21" i="3"/>
  <c r="T21" i="3"/>
  <c r="U21" i="3"/>
  <c r="V21" i="3"/>
  <c r="W21" i="3"/>
  <c r="X21" i="3"/>
  <c r="Q14" i="3"/>
  <c r="R14" i="3"/>
  <c r="S14" i="3"/>
  <c r="T14" i="3"/>
  <c r="U14" i="3"/>
  <c r="V14" i="3"/>
  <c r="W14" i="3"/>
  <c r="X14" i="3"/>
  <c r="Q22" i="3"/>
  <c r="R22" i="3"/>
  <c r="S22" i="3"/>
  <c r="T22" i="3"/>
  <c r="U22" i="3"/>
  <c r="V22" i="3"/>
  <c r="W22" i="3"/>
  <c r="X22" i="3"/>
  <c r="Q4" i="3"/>
  <c r="R4" i="3"/>
  <c r="S4" i="3"/>
  <c r="T4" i="3"/>
  <c r="U4" i="3"/>
  <c r="V4" i="3"/>
  <c r="W4" i="3"/>
  <c r="X4" i="3"/>
  <c r="Q5" i="3"/>
  <c r="R5" i="3"/>
  <c r="S5" i="3"/>
  <c r="T5" i="3"/>
  <c r="U5" i="3"/>
  <c r="V5" i="3"/>
  <c r="W5" i="3"/>
  <c r="X5" i="3"/>
  <c r="Q6" i="3"/>
  <c r="R6" i="3"/>
  <c r="S6" i="3"/>
  <c r="T6" i="3"/>
  <c r="U6" i="3"/>
  <c r="V6" i="3"/>
  <c r="W6" i="3"/>
  <c r="X6" i="3"/>
  <c r="Q15" i="3"/>
  <c r="R15" i="3"/>
  <c r="S15" i="3"/>
  <c r="T15" i="3"/>
  <c r="U15" i="3"/>
  <c r="V15" i="3"/>
  <c r="W15" i="3"/>
  <c r="X15" i="3"/>
  <c r="Q7" i="3"/>
  <c r="R7" i="3"/>
  <c r="S7" i="3"/>
  <c r="T7" i="3"/>
  <c r="U7" i="3"/>
  <c r="V7" i="3"/>
  <c r="W7" i="3"/>
  <c r="X7" i="3"/>
  <c r="Q8" i="3"/>
  <c r="R8" i="3"/>
  <c r="S8" i="3"/>
  <c r="T8" i="3"/>
  <c r="U8" i="3"/>
  <c r="V8" i="3"/>
  <c r="W8" i="3"/>
  <c r="X8" i="3"/>
  <c r="Q30" i="3"/>
  <c r="R30" i="3"/>
  <c r="S30" i="3"/>
  <c r="T30" i="3"/>
  <c r="U30" i="3"/>
  <c r="V30" i="3"/>
  <c r="W30" i="3"/>
  <c r="X30" i="3"/>
  <c r="Q23" i="3"/>
  <c r="R23" i="3"/>
  <c r="S23" i="3"/>
  <c r="T23" i="3"/>
  <c r="U23" i="3"/>
  <c r="V23" i="3"/>
  <c r="W23" i="3"/>
  <c r="X23" i="3"/>
  <c r="Q16" i="3"/>
  <c r="R16" i="3"/>
  <c r="S16" i="3"/>
  <c r="T16" i="3"/>
  <c r="U16" i="3"/>
  <c r="V16" i="3"/>
  <c r="W16" i="3"/>
  <c r="X16" i="3"/>
  <c r="Q17" i="3"/>
  <c r="R17" i="3"/>
  <c r="S17" i="3"/>
  <c r="T17" i="3"/>
  <c r="U17" i="3"/>
  <c r="V17" i="3"/>
  <c r="W17" i="3"/>
  <c r="X17" i="3"/>
  <c r="Q31" i="3"/>
  <c r="R31" i="3"/>
  <c r="S31" i="3"/>
  <c r="T31" i="3"/>
  <c r="U31" i="3"/>
  <c r="V31" i="3"/>
  <c r="W31" i="3"/>
  <c r="X31" i="3"/>
  <c r="Q9" i="3"/>
  <c r="R9" i="3"/>
  <c r="S9" i="3"/>
  <c r="T9" i="3"/>
  <c r="U9" i="3"/>
  <c r="V9" i="3"/>
  <c r="W9" i="3"/>
  <c r="X9" i="3"/>
  <c r="Q24" i="3"/>
  <c r="R24" i="3"/>
  <c r="S24" i="3"/>
  <c r="T24" i="3"/>
  <c r="U24" i="3"/>
  <c r="V24" i="3"/>
  <c r="W24" i="3"/>
  <c r="X24" i="3"/>
  <c r="X25" i="3"/>
  <c r="W25" i="3"/>
  <c r="V25" i="3"/>
  <c r="U25" i="3"/>
  <c r="T25" i="3"/>
  <c r="S25" i="3"/>
  <c r="R25" i="3"/>
  <c r="Q25" i="3"/>
  <c r="A4" i="14"/>
  <c r="A5" i="14" s="1"/>
  <c r="A6" i="14" s="1"/>
  <c r="A7" i="14" s="1"/>
  <c r="A8" i="14" s="1"/>
  <c r="A10" i="14" s="1"/>
  <c r="A11" i="14" s="1"/>
  <c r="A3" i="14"/>
  <c r="B39" i="21" l="1"/>
  <c r="K33" i="21"/>
  <c r="L33" i="21"/>
  <c r="D48" i="21"/>
  <c r="B44" i="21"/>
  <c r="B48" i="21"/>
  <c r="D50" i="21" s="1"/>
  <c r="B47" i="21"/>
  <c r="B50" i="21" s="1"/>
  <c r="D47" i="21"/>
  <c r="L33" i="22"/>
  <c r="D48" i="22"/>
  <c r="B44" i="22"/>
  <c r="B48" i="22"/>
  <c r="D50" i="22" s="1"/>
  <c r="B39" i="22"/>
  <c r="B47" i="22"/>
  <c r="B50" i="22" s="1"/>
  <c r="D47" i="22"/>
  <c r="K33" i="22"/>
  <c r="B39" i="23"/>
  <c r="B47" i="23"/>
  <c r="B50" i="23" s="1"/>
  <c r="D47" i="23"/>
  <c r="K33" i="23"/>
  <c r="L33" i="23"/>
  <c r="D48" i="23"/>
  <c r="B44" i="23"/>
  <c r="B48" i="23"/>
  <c r="D50" i="23" s="1"/>
  <c r="K33" i="20"/>
  <c r="L33" i="20"/>
  <c r="D48" i="20"/>
  <c r="B44" i="20"/>
  <c r="B48" i="20"/>
  <c r="D50" i="20" s="1"/>
  <c r="B47" i="20"/>
  <c r="B50" i="20" s="1"/>
  <c r="B47" i="19"/>
  <c r="B50" i="19" s="1"/>
  <c r="K33" i="19"/>
  <c r="B48" i="19"/>
  <c r="D50" i="19" s="1"/>
  <c r="L33" i="19"/>
  <c r="D47" i="19"/>
  <c r="B45" i="19"/>
  <c r="D48" i="19"/>
  <c r="K33" i="18"/>
  <c r="L33" i="18"/>
  <c r="D48" i="18"/>
  <c r="B44" i="18"/>
  <c r="B48" i="18"/>
  <c r="D50" i="18" s="1"/>
  <c r="B47" i="18"/>
  <c r="B50" i="18" s="1"/>
  <c r="D47" i="18"/>
  <c r="B39" i="18"/>
  <c r="L33" i="17"/>
  <c r="D48" i="17"/>
  <c r="B47" i="17"/>
  <c r="B50" i="17" s="1"/>
  <c r="D47" i="17"/>
  <c r="K33" i="17"/>
  <c r="B48" i="17"/>
  <c r="D50" i="17" s="1"/>
  <c r="B39" i="17"/>
  <c r="B45" i="23"/>
  <c r="B45" i="22"/>
  <c r="B45" i="21"/>
  <c r="B45" i="20"/>
  <c r="B39" i="19"/>
  <c r="B44" i="19"/>
  <c r="B45" i="18"/>
  <c r="B44" i="17"/>
  <c r="B45" i="17"/>
  <c r="B47" i="16"/>
  <c r="B50" i="16" s="1"/>
  <c r="D47" i="16"/>
  <c r="K33" i="16"/>
  <c r="L33" i="16"/>
  <c r="D48" i="16"/>
  <c r="B44" i="16"/>
  <c r="B48" i="16"/>
  <c r="D50" i="16" s="1"/>
  <c r="B39" i="16"/>
  <c r="B45" i="16"/>
  <c r="B39" i="15"/>
  <c r="B47" i="15"/>
  <c r="B50" i="15" s="1"/>
  <c r="K33" i="15"/>
  <c r="B48" i="15"/>
  <c r="D50" i="15" s="1"/>
  <c r="L33" i="15"/>
  <c r="D47" i="15"/>
  <c r="B45" i="15"/>
  <c r="D48" i="15"/>
  <c r="B44" i="15"/>
  <c r="B42" i="3" l="1"/>
  <c r="I33" i="3"/>
  <c r="H33" i="3"/>
  <c r="P24" i="3"/>
  <c r="O24" i="3"/>
  <c r="N24" i="3"/>
  <c r="M24" i="3"/>
  <c r="L24" i="3"/>
  <c r="K24" i="3"/>
  <c r="J24" i="3"/>
  <c r="P9" i="3"/>
  <c r="O9" i="3"/>
  <c r="N9" i="3"/>
  <c r="M9" i="3"/>
  <c r="L9" i="3"/>
  <c r="K9" i="3"/>
  <c r="J9" i="3"/>
  <c r="P31" i="3"/>
  <c r="O31" i="3"/>
  <c r="N31" i="3"/>
  <c r="M31" i="3"/>
  <c r="L31" i="3"/>
  <c r="K31" i="3"/>
  <c r="J31" i="3"/>
  <c r="P17" i="3"/>
  <c r="O17" i="3"/>
  <c r="N17" i="3"/>
  <c r="M17" i="3"/>
  <c r="L17" i="3"/>
  <c r="K17" i="3"/>
  <c r="J17" i="3"/>
  <c r="P16" i="3"/>
  <c r="O16" i="3"/>
  <c r="N16" i="3"/>
  <c r="M16" i="3"/>
  <c r="L16" i="3"/>
  <c r="K16" i="3"/>
  <c r="J16" i="3"/>
  <c r="P23" i="3"/>
  <c r="O23" i="3"/>
  <c r="N23" i="3"/>
  <c r="M23" i="3"/>
  <c r="L23" i="3"/>
  <c r="K23" i="3"/>
  <c r="J23" i="3"/>
  <c r="P30" i="3"/>
  <c r="O30" i="3"/>
  <c r="N30" i="3"/>
  <c r="M30" i="3"/>
  <c r="L30" i="3"/>
  <c r="K30" i="3"/>
  <c r="J30" i="3"/>
  <c r="P8" i="3"/>
  <c r="O8" i="3"/>
  <c r="N8" i="3"/>
  <c r="M8" i="3"/>
  <c r="L8" i="3"/>
  <c r="K8" i="3"/>
  <c r="J8" i="3"/>
  <c r="P7" i="3"/>
  <c r="O7" i="3"/>
  <c r="N7" i="3"/>
  <c r="M7" i="3"/>
  <c r="L7" i="3"/>
  <c r="K7" i="3"/>
  <c r="J7" i="3"/>
  <c r="P15" i="3"/>
  <c r="O15" i="3"/>
  <c r="N15" i="3"/>
  <c r="M15" i="3"/>
  <c r="L15" i="3"/>
  <c r="K15" i="3"/>
  <c r="J15" i="3"/>
  <c r="P6" i="3"/>
  <c r="O6" i="3"/>
  <c r="N6" i="3"/>
  <c r="M6" i="3"/>
  <c r="L6" i="3"/>
  <c r="K6" i="3"/>
  <c r="J6" i="3"/>
  <c r="P5" i="3"/>
  <c r="O5" i="3"/>
  <c r="N5" i="3"/>
  <c r="M5" i="3"/>
  <c r="L5" i="3"/>
  <c r="K5" i="3"/>
  <c r="J5" i="3"/>
  <c r="P4" i="3"/>
  <c r="O4" i="3"/>
  <c r="N4" i="3"/>
  <c r="M4" i="3"/>
  <c r="L4" i="3"/>
  <c r="K4" i="3"/>
  <c r="J4" i="3"/>
  <c r="P22" i="3"/>
  <c r="O22" i="3"/>
  <c r="N22" i="3"/>
  <c r="M22" i="3"/>
  <c r="L22" i="3"/>
  <c r="K22" i="3"/>
  <c r="J22" i="3"/>
  <c r="P14" i="3"/>
  <c r="O14" i="3"/>
  <c r="N14" i="3"/>
  <c r="M14" i="3"/>
  <c r="L14" i="3"/>
  <c r="K14" i="3"/>
  <c r="J14" i="3"/>
  <c r="P21" i="3"/>
  <c r="O21" i="3"/>
  <c r="N21" i="3"/>
  <c r="M21" i="3"/>
  <c r="L21" i="3"/>
  <c r="K21" i="3"/>
  <c r="J21" i="3"/>
  <c r="P29" i="3"/>
  <c r="O29" i="3"/>
  <c r="N29" i="3"/>
  <c r="M29" i="3"/>
  <c r="L29" i="3"/>
  <c r="K29" i="3"/>
  <c r="J29" i="3"/>
  <c r="P13" i="3"/>
  <c r="O13" i="3"/>
  <c r="N13" i="3"/>
  <c r="M13" i="3"/>
  <c r="L13" i="3"/>
  <c r="K13" i="3"/>
  <c r="J13" i="3"/>
  <c r="P28" i="3"/>
  <c r="O28" i="3"/>
  <c r="N28" i="3"/>
  <c r="M28" i="3"/>
  <c r="L28" i="3"/>
  <c r="K28" i="3"/>
  <c r="J28" i="3"/>
  <c r="P12" i="3"/>
  <c r="O12" i="3"/>
  <c r="N12" i="3"/>
  <c r="M12" i="3"/>
  <c r="L12" i="3"/>
  <c r="K12" i="3"/>
  <c r="J12" i="3"/>
  <c r="P20" i="3"/>
  <c r="O20" i="3"/>
  <c r="N20" i="3"/>
  <c r="M20" i="3"/>
  <c r="L20" i="3"/>
  <c r="K20" i="3"/>
  <c r="J20" i="3"/>
  <c r="P3" i="3"/>
  <c r="O3" i="3"/>
  <c r="N3" i="3"/>
  <c r="M3" i="3"/>
  <c r="L3" i="3"/>
  <c r="K3" i="3"/>
  <c r="J3" i="3"/>
  <c r="P19" i="3"/>
  <c r="O19" i="3"/>
  <c r="N19" i="3"/>
  <c r="M19" i="3"/>
  <c r="L19" i="3"/>
  <c r="K19" i="3"/>
  <c r="J19" i="3"/>
  <c r="P18" i="3"/>
  <c r="O18" i="3"/>
  <c r="N18" i="3"/>
  <c r="M18" i="3"/>
  <c r="L18" i="3"/>
  <c r="K18" i="3"/>
  <c r="J18" i="3"/>
  <c r="P2" i="3"/>
  <c r="O2" i="3"/>
  <c r="N2" i="3"/>
  <c r="K2" i="3"/>
  <c r="J2" i="3"/>
  <c r="P27" i="3"/>
  <c r="O27" i="3"/>
  <c r="N27" i="3"/>
  <c r="M27" i="3"/>
  <c r="L27" i="3"/>
  <c r="K27" i="3"/>
  <c r="J27" i="3"/>
  <c r="P11" i="3"/>
  <c r="O11" i="3"/>
  <c r="N11" i="3"/>
  <c r="M11" i="3"/>
  <c r="L11" i="3"/>
  <c r="K11" i="3"/>
  <c r="J11" i="3"/>
  <c r="P10" i="3"/>
  <c r="O10" i="3"/>
  <c r="N10" i="3"/>
  <c r="M10" i="3"/>
  <c r="L10" i="3"/>
  <c r="K10" i="3"/>
  <c r="J10" i="3"/>
  <c r="P26" i="3"/>
  <c r="O26" i="3"/>
  <c r="N26" i="3"/>
  <c r="M26" i="3"/>
  <c r="L26" i="3"/>
  <c r="K26" i="3"/>
  <c r="J26" i="3"/>
  <c r="P25" i="3"/>
  <c r="O25" i="3"/>
  <c r="N25" i="3"/>
  <c r="M25" i="3"/>
  <c r="L25" i="3"/>
  <c r="K25" i="3"/>
  <c r="J25" i="3"/>
  <c r="B48" i="3" l="1"/>
  <c r="D50" i="3" s="1"/>
  <c r="B47" i="3"/>
  <c r="B50" i="3" s="1"/>
  <c r="B44" i="3"/>
  <c r="D47" i="3"/>
  <c r="D48" i="3"/>
  <c r="B45" i="3"/>
  <c r="K33" i="3"/>
  <c r="L33" i="3"/>
</calcChain>
</file>

<file path=xl/sharedStrings.xml><?xml version="1.0" encoding="utf-8"?>
<sst xmlns="http://schemas.openxmlformats.org/spreadsheetml/2006/main" count="1150" uniqueCount="84">
  <si>
    <t>Washington Capitals</t>
  </si>
  <si>
    <t>Dallas Stars</t>
  </si>
  <si>
    <t>St. Louis Blues</t>
  </si>
  <si>
    <t>Florida Panthers</t>
  </si>
  <si>
    <t>Chicago Blackhawks</t>
  </si>
  <si>
    <t>Anaheim Ducks</t>
  </si>
  <si>
    <t>San Jose Sharks</t>
  </si>
  <si>
    <t>Tampa Bay Lightning</t>
  </si>
  <si>
    <t>Boston Bruins</t>
  </si>
  <si>
    <t>Philadelphia Flyers</t>
  </si>
  <si>
    <t>Nashville Predators</t>
  </si>
  <si>
    <t>Detroit Red Wings</t>
  </si>
  <si>
    <t>Colorado Avalanche</t>
  </si>
  <si>
    <t>Minnesota Wild</t>
  </si>
  <si>
    <t>Ottawa Senators</t>
  </si>
  <si>
    <t>Montreal Canadiens</t>
  </si>
  <si>
    <t>Carolina Hurricanes</t>
  </si>
  <si>
    <t>Buffalo Sabres</t>
  </si>
  <si>
    <t>Arizona Coyotes</t>
  </si>
  <si>
    <t>Winnipeg Jets</t>
  </si>
  <si>
    <t>Calgary Flames</t>
  </si>
  <si>
    <t>Columbus Blue Jackets</t>
  </si>
  <si>
    <t>Vancouver Canucks</t>
  </si>
  <si>
    <t>Edmonton Oilers</t>
  </si>
  <si>
    <t>Toronto Maple Leafs</t>
  </si>
  <si>
    <t>Team</t>
  </si>
  <si>
    <t>d1i</t>
  </si>
  <si>
    <t>d2i</t>
  </si>
  <si>
    <t>mi</t>
  </si>
  <si>
    <t>ai</t>
  </si>
  <si>
    <t>ci</t>
  </si>
  <si>
    <t>pi</t>
  </si>
  <si>
    <t>ti - current system</t>
  </si>
  <si>
    <t>Maximize</t>
  </si>
  <si>
    <t>from wildcard:</t>
  </si>
  <si>
    <t>from top division:</t>
  </si>
  <si>
    <t>Points</t>
  </si>
  <si>
    <t>i</t>
  </si>
  <si>
    <t>LA Kings</t>
  </si>
  <si>
    <t>NJ Devils</t>
  </si>
  <si>
    <t>NY Islanders</t>
  </si>
  <si>
    <t>NY Rangers</t>
  </si>
  <si>
    <t>Pittsburg Penguins</t>
  </si>
  <si>
    <t>(ai+mi)*(d1i+d2i)</t>
  </si>
  <si>
    <t>(ci+pi)* (d1i+d2i)</t>
  </si>
  <si>
    <t>Sum (if applicable)</t>
  </si>
  <si>
    <t>d1i+d2i</t>
  </si>
  <si>
    <t>Subject to</t>
  </si>
  <si>
    <t>.=</t>
  </si>
  <si>
    <t>&lt;=</t>
  </si>
  <si>
    <t>ai*d1i</t>
  </si>
  <si>
    <t>mi*d1i</t>
  </si>
  <si>
    <t>ci*d1i</t>
  </si>
  <si>
    <t>pi*d1i</t>
  </si>
  <si>
    <t>Eastern Conference</t>
  </si>
  <si>
    <t>Western Conference</t>
  </si>
  <si>
    <t>&gt;=</t>
  </si>
  <si>
    <t>EC teams &gt;= WC teams</t>
  </si>
  <si>
    <t>This is to ensure EC have more teams than WC (this gets rid of the situation where WC &gt; EC, making it unfair to EC teams in terms of points earned and guarantee of playoff spot)</t>
  </si>
  <si>
    <t>Atlantic Division (EC)</t>
  </si>
  <si>
    <t>Metropolitan Division (EC)</t>
  </si>
  <si>
    <t>Central Division (WC)</t>
  </si>
  <si>
    <t>Pacific Division (WC)</t>
  </si>
  <si>
    <t>Season</t>
  </si>
  <si>
    <t>EC make Division</t>
  </si>
  <si>
    <t>WC Make Division</t>
  </si>
  <si>
    <t>d1i*ti*mi</t>
  </si>
  <si>
    <t>d2i*ti*mi</t>
  </si>
  <si>
    <t>d1i*ti*ai</t>
  </si>
  <si>
    <t>d2i*ti*ai</t>
  </si>
  <si>
    <t>d1i*ti*ci</t>
  </si>
  <si>
    <t>d2i*ti*ci</t>
  </si>
  <si>
    <t>d1i*ti*pi</t>
  </si>
  <si>
    <t>d2i*ti*pi</t>
  </si>
  <si>
    <t>Don’t change</t>
  </si>
  <si>
    <t>don’t change, decision variables det values</t>
  </si>
  <si>
    <t>decision variables</t>
  </si>
  <si>
    <t>change (based on points/point system)</t>
  </si>
  <si>
    <t>EC Wildcard</t>
  </si>
  <si>
    <t>WC Wildcard</t>
  </si>
  <si>
    <t>Jen Added Constraints</t>
  </si>
  <si>
    <t xml:space="preserve">These constraints say that at most 4 teams from each division can make the playoff based on being top of their division. </t>
  </si>
  <si>
    <t>*Also, updated that we want to prioritize being on top of their division over having a wildcard spot, so 2*points in top position + 1*points in wildcard</t>
  </si>
  <si>
    <t>Actual total points to playoff: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</si>
</sst>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9" tint="-0.49998474074526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 applyFill="1" applyBorder="1" applyAlignment="1">
      <alignment vertical="center" wrapText="1"/>
    </xf>
    <xf numFmtId="0" fontId="1" fillId="0" borderId="0" xfId="0" applyFont="1" applyBorder="1" applyAlignment="1">
      <alignment vertical="center" wrapText="1"/>
    </xf>
    <xf numFmtId="0" fontId="1" fillId="3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2" fillId="0" borderId="1" xfId="0" applyFont="1" applyFill="1" applyBorder="1" applyAlignment="1">
      <alignment vertical="center" wrapText="1"/>
    </xf>
    <xf numFmtId="0" fontId="1" fillId="4" borderId="1" xfId="0" applyFont="1" applyFill="1" applyBorder="1" applyAlignment="1">
      <alignment vertical="center" wrapText="1"/>
    </xf>
    <xf numFmtId="0" fontId="0" fillId="2" borderId="1" xfId="0" applyFill="1" applyBorder="1"/>
    <xf numFmtId="0" fontId="2" fillId="0" borderId="2" xfId="0" applyFont="1" applyFill="1" applyBorder="1" applyAlignment="1">
      <alignment vertical="center" wrapText="1"/>
    </xf>
    <xf numFmtId="0" fontId="0" fillId="5" borderId="1" xfId="0" applyFill="1" applyBorder="1"/>
    <xf numFmtId="1" fontId="0" fillId="0" borderId="0" xfId="0" applyNumberFormat="1"/>
    <xf numFmtId="0" fontId="0" fillId="0" borderId="0" xfId="0" applyFill="1"/>
    <xf numFmtId="0" fontId="0" fillId="6" borderId="1" xfId="0" applyFill="1" applyBorder="1"/>
    <xf numFmtId="0" fontId="2" fillId="0" borderId="3" xfId="0" applyFont="1" applyFill="1" applyBorder="1" applyAlignment="1">
      <alignment vertical="center" wrapText="1"/>
    </xf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0" fontId="0" fillId="10" borderId="1" xfId="0" applyFill="1" applyBorder="1"/>
    <xf numFmtId="0" fontId="1" fillId="10" borderId="1" xfId="0" applyFont="1" applyFill="1" applyBorder="1" applyAlignment="1">
      <alignment vertical="center" wrapText="1"/>
    </xf>
    <xf numFmtId="0" fontId="1" fillId="8" borderId="1" xfId="0" applyFont="1" applyFill="1" applyBorder="1" applyAlignment="1">
      <alignment vertical="center" wrapText="1"/>
    </xf>
    <xf numFmtId="0" fontId="1" fillId="6" borderId="1" xfId="0" applyFont="1" applyFill="1" applyBorder="1" applyAlignment="1">
      <alignment vertical="center" wrapText="1"/>
    </xf>
    <xf numFmtId="0" fontId="1" fillId="7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56"/>
  <sheetViews>
    <sheetView topLeftCell="A12" workbookViewId="0">
      <selection activeCell="G2" sqref="G2:G31"/>
    </sheetView>
  </sheetViews>
  <sheetFormatPr defaultRowHeight="15" x14ac:dyDescent="0.25"/>
  <cols>
    <col min="1" max="1" width="21" bestFit="1" customWidth="1"/>
    <col min="25" max="25" width="7.28515625" customWidth="1"/>
    <col min="26" max="26" width="6.7109375" customWidth="1"/>
    <col min="27" max="27" width="6.5703125" customWidth="1"/>
  </cols>
  <sheetData>
    <row r="1" spans="1:32" ht="47.25" x14ac:dyDescent="0.25">
      <c r="A1" s="4" t="s">
        <v>25</v>
      </c>
      <c r="B1" s="4" t="s">
        <v>37</v>
      </c>
      <c r="C1" s="4" t="s">
        <v>28</v>
      </c>
      <c r="D1" s="4" t="s">
        <v>29</v>
      </c>
      <c r="E1" s="4" t="s">
        <v>30</v>
      </c>
      <c r="F1" s="4" t="s">
        <v>31</v>
      </c>
      <c r="G1" s="5" t="s">
        <v>32</v>
      </c>
      <c r="H1" s="5" t="s">
        <v>26</v>
      </c>
      <c r="I1" s="5" t="s">
        <v>27</v>
      </c>
      <c r="J1" s="13" t="s">
        <v>46</v>
      </c>
      <c r="K1" s="13" t="s">
        <v>43</v>
      </c>
      <c r="L1" s="13" t="s">
        <v>44</v>
      </c>
      <c r="M1" s="8" t="s">
        <v>51</v>
      </c>
      <c r="N1" s="8" t="s">
        <v>50</v>
      </c>
      <c r="O1" s="8" t="s">
        <v>52</v>
      </c>
      <c r="P1" s="8" t="s">
        <v>53</v>
      </c>
      <c r="Q1" s="8" t="s">
        <v>66</v>
      </c>
      <c r="R1" s="8" t="s">
        <v>67</v>
      </c>
      <c r="S1" s="8" t="s">
        <v>68</v>
      </c>
      <c r="T1" s="8" t="s">
        <v>69</v>
      </c>
      <c r="U1" s="8" t="s">
        <v>70</v>
      </c>
      <c r="V1" s="8" t="s">
        <v>71</v>
      </c>
      <c r="W1" s="8" t="s">
        <v>72</v>
      </c>
      <c r="X1" s="8" t="s">
        <v>73</v>
      </c>
      <c r="Y1" s="8"/>
      <c r="Z1" s="8"/>
      <c r="AA1" s="8"/>
      <c r="AB1" s="8"/>
    </row>
    <row r="2" spans="1:32" ht="15.75" x14ac:dyDescent="0.25">
      <c r="A2" s="18" t="s">
        <v>16</v>
      </c>
      <c r="B2" s="6">
        <v>1</v>
      </c>
      <c r="C2" s="6">
        <v>1</v>
      </c>
      <c r="D2" s="6">
        <v>0</v>
      </c>
      <c r="E2" s="6">
        <v>0</v>
      </c>
      <c r="F2" s="6">
        <v>0</v>
      </c>
      <c r="G2" s="3">
        <v>86</v>
      </c>
      <c r="H2" s="7">
        <v>0</v>
      </c>
      <c r="I2" s="7">
        <v>0</v>
      </c>
      <c r="J2" s="9">
        <f t="shared" ref="J2:J31" si="0">H2+I2</f>
        <v>0</v>
      </c>
      <c r="K2" s="9">
        <f t="shared" ref="K2:K31" si="1">(C2+D2)*(H2+I2)</f>
        <v>0</v>
      </c>
      <c r="L2" s="9">
        <f>(E2+F2)*(H2+I2)</f>
        <v>0</v>
      </c>
      <c r="M2" s="9">
        <f>C2*H2</f>
        <v>0</v>
      </c>
      <c r="N2" s="9">
        <f t="shared" ref="N2:N31" si="2">D2*H2</f>
        <v>0</v>
      </c>
      <c r="O2" s="9">
        <f t="shared" ref="O2:O31" si="3">E2*H2</f>
        <v>0</v>
      </c>
      <c r="P2" s="9">
        <f t="shared" ref="P2:P31" si="4">F2*H2</f>
        <v>0</v>
      </c>
      <c r="Q2" s="17">
        <f>H2*G2*C2</f>
        <v>0</v>
      </c>
      <c r="R2" s="17">
        <f t="shared" ref="R2:R31" si="5">I2*G2*C2</f>
        <v>0</v>
      </c>
      <c r="S2" s="17">
        <f t="shared" ref="S2:S31" si="6">H2*G2*D2</f>
        <v>0</v>
      </c>
      <c r="T2" s="17">
        <f t="shared" ref="T2:T31" si="7">I2*G2*D2</f>
        <v>0</v>
      </c>
      <c r="U2" s="17">
        <f>H2*G2*E2</f>
        <v>0</v>
      </c>
      <c r="V2" s="17">
        <f>I2*G2*E2</f>
        <v>0</v>
      </c>
      <c r="W2" s="17">
        <f>H2*G2*F2</f>
        <v>0</v>
      </c>
      <c r="X2" s="17">
        <f t="shared" ref="X2:X31" si="8">I2*G2*F2</f>
        <v>0</v>
      </c>
      <c r="Y2" s="11"/>
      <c r="Z2" s="11"/>
      <c r="AA2" s="11"/>
      <c r="AB2" s="11"/>
      <c r="AC2" s="11"/>
      <c r="AD2" s="11"/>
      <c r="AE2" s="11"/>
      <c r="AF2" s="11"/>
    </row>
    <row r="3" spans="1:32" ht="14.25" customHeight="1" x14ac:dyDescent="0.25">
      <c r="A3" s="18" t="s">
        <v>21</v>
      </c>
      <c r="B3" s="6">
        <v>2</v>
      </c>
      <c r="C3" s="6">
        <v>1</v>
      </c>
      <c r="D3" s="6">
        <v>0</v>
      </c>
      <c r="E3" s="6">
        <v>0</v>
      </c>
      <c r="F3" s="6">
        <v>0</v>
      </c>
      <c r="G3" s="3">
        <v>76</v>
      </c>
      <c r="H3" s="7">
        <v>0</v>
      </c>
      <c r="I3" s="7">
        <v>0</v>
      </c>
      <c r="J3" s="9">
        <f t="shared" si="0"/>
        <v>0</v>
      </c>
      <c r="K3" s="9">
        <f t="shared" si="1"/>
        <v>0</v>
      </c>
      <c r="L3" s="9">
        <f t="shared" ref="L3:L31" si="9">(E3+F3)*(H3+I3)</f>
        <v>0</v>
      </c>
      <c r="M3" s="9">
        <f t="shared" ref="M3:M31" si="10">C3*H3</f>
        <v>0</v>
      </c>
      <c r="N3" s="9">
        <f t="shared" si="2"/>
        <v>0</v>
      </c>
      <c r="O3" s="9">
        <f t="shared" si="3"/>
        <v>0</v>
      </c>
      <c r="P3" s="9">
        <f t="shared" si="4"/>
        <v>0</v>
      </c>
      <c r="Q3" s="17">
        <f t="shared" ref="Q3:Q31" si="11">H3*G3*C3</f>
        <v>0</v>
      </c>
      <c r="R3" s="17">
        <f t="shared" si="5"/>
        <v>0</v>
      </c>
      <c r="S3" s="17">
        <f t="shared" si="6"/>
        <v>0</v>
      </c>
      <c r="T3" s="17">
        <f t="shared" si="7"/>
        <v>0</v>
      </c>
      <c r="U3" s="17">
        <f t="shared" ref="U3:U31" si="12">H3*G3*E3</f>
        <v>0</v>
      </c>
      <c r="V3" s="17">
        <f t="shared" ref="V3:V31" si="13">I3*G3*E3</f>
        <v>0</v>
      </c>
      <c r="W3" s="17">
        <f t="shared" ref="W3:W31" si="14">H3*G3*F3</f>
        <v>0</v>
      </c>
      <c r="X3" s="17">
        <f t="shared" si="8"/>
        <v>0</v>
      </c>
      <c r="Y3" s="11"/>
      <c r="Z3" s="11"/>
      <c r="AA3" s="11"/>
      <c r="AB3" s="11"/>
      <c r="AC3" s="11"/>
      <c r="AD3" s="11"/>
      <c r="AE3" s="11"/>
      <c r="AF3" s="11"/>
    </row>
    <row r="4" spans="1:32" ht="15.75" x14ac:dyDescent="0.25">
      <c r="A4" s="18" t="s">
        <v>39</v>
      </c>
      <c r="B4" s="6">
        <v>3</v>
      </c>
      <c r="C4" s="6">
        <v>1</v>
      </c>
      <c r="D4" s="6">
        <v>0</v>
      </c>
      <c r="E4" s="6">
        <v>0</v>
      </c>
      <c r="F4" s="6">
        <v>0</v>
      </c>
      <c r="G4" s="3">
        <v>84</v>
      </c>
      <c r="H4" s="7">
        <v>0</v>
      </c>
      <c r="I4" s="7">
        <v>0</v>
      </c>
      <c r="J4" s="9">
        <f t="shared" si="0"/>
        <v>0</v>
      </c>
      <c r="K4" s="9">
        <f t="shared" si="1"/>
        <v>0</v>
      </c>
      <c r="L4" s="9">
        <f t="shared" si="9"/>
        <v>0</v>
      </c>
      <c r="M4" s="9">
        <f t="shared" si="10"/>
        <v>0</v>
      </c>
      <c r="N4" s="9">
        <f t="shared" si="2"/>
        <v>0</v>
      </c>
      <c r="O4" s="9">
        <f t="shared" si="3"/>
        <v>0</v>
      </c>
      <c r="P4" s="9">
        <f t="shared" si="4"/>
        <v>0</v>
      </c>
      <c r="Q4" s="17">
        <f t="shared" si="11"/>
        <v>0</v>
      </c>
      <c r="R4" s="17">
        <f t="shared" si="5"/>
        <v>0</v>
      </c>
      <c r="S4" s="17">
        <f t="shared" si="6"/>
        <v>0</v>
      </c>
      <c r="T4" s="17">
        <f t="shared" si="7"/>
        <v>0</v>
      </c>
      <c r="U4" s="17">
        <f t="shared" si="12"/>
        <v>0</v>
      </c>
      <c r="V4" s="17">
        <f t="shared" si="13"/>
        <v>0</v>
      </c>
      <c r="W4" s="17">
        <f t="shared" si="14"/>
        <v>0</v>
      </c>
      <c r="X4" s="17">
        <f t="shared" si="8"/>
        <v>0</v>
      </c>
      <c r="Y4" s="11"/>
      <c r="Z4" s="11"/>
      <c r="AA4" s="11"/>
      <c r="AB4" s="11"/>
      <c r="AC4" s="11"/>
      <c r="AD4" s="11"/>
      <c r="AE4" s="11"/>
      <c r="AF4" s="11"/>
    </row>
    <row r="5" spans="1:32" ht="15.75" x14ac:dyDescent="0.25">
      <c r="A5" s="18" t="s">
        <v>40</v>
      </c>
      <c r="B5" s="6">
        <v>4</v>
      </c>
      <c r="C5" s="6">
        <v>1</v>
      </c>
      <c r="D5" s="6">
        <v>0</v>
      </c>
      <c r="E5" s="6">
        <v>0</v>
      </c>
      <c r="F5" s="6">
        <v>0</v>
      </c>
      <c r="G5" s="3">
        <v>100</v>
      </c>
      <c r="H5" s="7">
        <v>0</v>
      </c>
      <c r="I5" s="7">
        <v>1</v>
      </c>
      <c r="J5" s="9">
        <f t="shared" si="0"/>
        <v>1</v>
      </c>
      <c r="K5" s="9">
        <f t="shared" si="1"/>
        <v>1</v>
      </c>
      <c r="L5" s="9">
        <f t="shared" si="9"/>
        <v>0</v>
      </c>
      <c r="M5" s="9">
        <f t="shared" si="10"/>
        <v>0</v>
      </c>
      <c r="N5" s="9">
        <f t="shared" si="2"/>
        <v>0</v>
      </c>
      <c r="O5" s="9">
        <f t="shared" si="3"/>
        <v>0</v>
      </c>
      <c r="P5" s="9">
        <f t="shared" si="4"/>
        <v>0</v>
      </c>
      <c r="Q5" s="17">
        <f t="shared" si="11"/>
        <v>0</v>
      </c>
      <c r="R5" s="17">
        <f t="shared" si="5"/>
        <v>100</v>
      </c>
      <c r="S5" s="17">
        <f t="shared" si="6"/>
        <v>0</v>
      </c>
      <c r="T5" s="17">
        <f t="shared" si="7"/>
        <v>0</v>
      </c>
      <c r="U5" s="17">
        <f t="shared" si="12"/>
        <v>0</v>
      </c>
      <c r="V5" s="17">
        <f t="shared" si="13"/>
        <v>0</v>
      </c>
      <c r="W5" s="17">
        <f t="shared" si="14"/>
        <v>0</v>
      </c>
      <c r="X5" s="17">
        <f t="shared" si="8"/>
        <v>0</v>
      </c>
      <c r="Y5" s="11"/>
      <c r="Z5" s="11"/>
      <c r="AA5" s="11"/>
      <c r="AB5" s="11"/>
      <c r="AC5" s="11"/>
      <c r="AD5" s="11"/>
      <c r="AE5" s="11"/>
      <c r="AF5" s="11"/>
    </row>
    <row r="6" spans="1:32" ht="15.75" x14ac:dyDescent="0.25">
      <c r="A6" s="18" t="s">
        <v>41</v>
      </c>
      <c r="B6" s="6">
        <v>5</v>
      </c>
      <c r="C6" s="6">
        <v>1</v>
      </c>
      <c r="D6" s="6">
        <v>0</v>
      </c>
      <c r="E6" s="6">
        <v>0</v>
      </c>
      <c r="F6" s="6">
        <v>0</v>
      </c>
      <c r="G6" s="3">
        <v>101</v>
      </c>
      <c r="H6" s="7">
        <v>0</v>
      </c>
      <c r="I6" s="7">
        <v>1</v>
      </c>
      <c r="J6" s="9">
        <f t="shared" si="0"/>
        <v>1</v>
      </c>
      <c r="K6" s="9">
        <f t="shared" si="1"/>
        <v>1</v>
      </c>
      <c r="L6" s="9">
        <f t="shared" si="9"/>
        <v>0</v>
      </c>
      <c r="M6" s="9">
        <f t="shared" si="10"/>
        <v>0</v>
      </c>
      <c r="N6" s="9">
        <f t="shared" si="2"/>
        <v>0</v>
      </c>
      <c r="O6" s="9">
        <f t="shared" si="3"/>
        <v>0</v>
      </c>
      <c r="P6" s="9">
        <f t="shared" si="4"/>
        <v>0</v>
      </c>
      <c r="Q6" s="17">
        <f t="shared" si="11"/>
        <v>0</v>
      </c>
      <c r="R6" s="17">
        <f t="shared" si="5"/>
        <v>101</v>
      </c>
      <c r="S6" s="17">
        <f t="shared" si="6"/>
        <v>0</v>
      </c>
      <c r="T6" s="17">
        <f t="shared" si="7"/>
        <v>0</v>
      </c>
      <c r="U6" s="17">
        <f t="shared" si="12"/>
        <v>0</v>
      </c>
      <c r="V6" s="17">
        <f t="shared" si="13"/>
        <v>0</v>
      </c>
      <c r="W6" s="17">
        <f t="shared" si="14"/>
        <v>0</v>
      </c>
      <c r="X6" s="17">
        <f t="shared" si="8"/>
        <v>0</v>
      </c>
      <c r="Y6" s="11"/>
      <c r="Z6" s="11"/>
      <c r="AA6" s="11"/>
      <c r="AB6" s="11"/>
      <c r="AC6" s="11"/>
      <c r="AD6" s="11"/>
      <c r="AE6" s="11"/>
      <c r="AF6" s="11"/>
    </row>
    <row r="7" spans="1:32" ht="15.75" x14ac:dyDescent="0.25">
      <c r="A7" s="18" t="s">
        <v>9</v>
      </c>
      <c r="B7" s="6">
        <v>6</v>
      </c>
      <c r="C7" s="6">
        <v>1</v>
      </c>
      <c r="D7" s="6">
        <v>0</v>
      </c>
      <c r="E7" s="6">
        <v>0</v>
      </c>
      <c r="F7" s="6">
        <v>0</v>
      </c>
      <c r="G7" s="3">
        <v>96</v>
      </c>
      <c r="H7" s="7">
        <v>0</v>
      </c>
      <c r="I7" s="7">
        <v>1</v>
      </c>
      <c r="J7" s="9">
        <f t="shared" si="0"/>
        <v>1</v>
      </c>
      <c r="K7" s="9">
        <f t="shared" si="1"/>
        <v>1</v>
      </c>
      <c r="L7" s="9">
        <f t="shared" si="9"/>
        <v>0</v>
      </c>
      <c r="M7" s="9">
        <f t="shared" si="10"/>
        <v>0</v>
      </c>
      <c r="N7" s="9">
        <f t="shared" si="2"/>
        <v>0</v>
      </c>
      <c r="O7" s="9">
        <f t="shared" si="3"/>
        <v>0</v>
      </c>
      <c r="P7" s="9">
        <f t="shared" si="4"/>
        <v>0</v>
      </c>
      <c r="Q7" s="17">
        <f t="shared" si="11"/>
        <v>0</v>
      </c>
      <c r="R7" s="17">
        <f t="shared" si="5"/>
        <v>96</v>
      </c>
      <c r="S7" s="17">
        <f t="shared" si="6"/>
        <v>0</v>
      </c>
      <c r="T7" s="17">
        <f t="shared" si="7"/>
        <v>0</v>
      </c>
      <c r="U7" s="17">
        <f t="shared" si="12"/>
        <v>0</v>
      </c>
      <c r="V7" s="17">
        <f t="shared" si="13"/>
        <v>0</v>
      </c>
      <c r="W7" s="17">
        <f t="shared" si="14"/>
        <v>0</v>
      </c>
      <c r="X7" s="17">
        <f t="shared" si="8"/>
        <v>0</v>
      </c>
      <c r="Y7" s="11"/>
      <c r="Z7" s="11"/>
      <c r="AA7" s="11"/>
      <c r="AB7" s="11"/>
      <c r="AC7" s="11"/>
      <c r="AD7" s="11"/>
      <c r="AE7" s="11"/>
      <c r="AF7" s="11"/>
    </row>
    <row r="8" spans="1:32" ht="15.75" x14ac:dyDescent="0.25">
      <c r="A8" s="18" t="s">
        <v>42</v>
      </c>
      <c r="B8" s="6">
        <v>7</v>
      </c>
      <c r="C8" s="6">
        <v>1</v>
      </c>
      <c r="D8" s="6">
        <v>0</v>
      </c>
      <c r="E8" s="6">
        <v>0</v>
      </c>
      <c r="F8" s="6">
        <v>0</v>
      </c>
      <c r="G8" s="3">
        <v>104</v>
      </c>
      <c r="H8" s="7">
        <v>0</v>
      </c>
      <c r="I8" s="7">
        <v>1</v>
      </c>
      <c r="J8" s="9">
        <f t="shared" si="0"/>
        <v>1</v>
      </c>
      <c r="K8" s="9">
        <f t="shared" si="1"/>
        <v>1</v>
      </c>
      <c r="L8" s="9">
        <f t="shared" si="9"/>
        <v>0</v>
      </c>
      <c r="M8" s="9">
        <f t="shared" si="10"/>
        <v>0</v>
      </c>
      <c r="N8" s="9">
        <f t="shared" si="2"/>
        <v>0</v>
      </c>
      <c r="O8" s="9">
        <f t="shared" si="3"/>
        <v>0</v>
      </c>
      <c r="P8" s="9">
        <f t="shared" si="4"/>
        <v>0</v>
      </c>
      <c r="Q8" s="17">
        <f t="shared" si="11"/>
        <v>0</v>
      </c>
      <c r="R8" s="17">
        <f t="shared" si="5"/>
        <v>104</v>
      </c>
      <c r="S8" s="17">
        <f t="shared" si="6"/>
        <v>0</v>
      </c>
      <c r="T8" s="17">
        <f t="shared" si="7"/>
        <v>0</v>
      </c>
      <c r="U8" s="17">
        <f t="shared" si="12"/>
        <v>0</v>
      </c>
      <c r="V8" s="17">
        <f t="shared" si="13"/>
        <v>0</v>
      </c>
      <c r="W8" s="17">
        <f t="shared" si="14"/>
        <v>0</v>
      </c>
      <c r="X8" s="17">
        <f t="shared" si="8"/>
        <v>0</v>
      </c>
      <c r="Y8" s="11"/>
      <c r="Z8" s="11"/>
      <c r="AA8" s="11"/>
      <c r="AB8" s="11"/>
      <c r="AC8" s="11"/>
      <c r="AD8" s="11"/>
      <c r="AE8" s="11"/>
      <c r="AF8" s="11"/>
    </row>
    <row r="9" spans="1:32" ht="15.75" x14ac:dyDescent="0.25">
      <c r="A9" s="18" t="s">
        <v>0</v>
      </c>
      <c r="B9" s="6">
        <v>8</v>
      </c>
      <c r="C9" s="6">
        <v>1</v>
      </c>
      <c r="D9" s="6">
        <v>0</v>
      </c>
      <c r="E9" s="6">
        <v>0</v>
      </c>
      <c r="F9" s="6">
        <v>0</v>
      </c>
      <c r="G9" s="3">
        <v>120</v>
      </c>
      <c r="H9" s="7">
        <v>0</v>
      </c>
      <c r="I9" s="7">
        <v>1</v>
      </c>
      <c r="J9" s="9">
        <f t="shared" si="0"/>
        <v>1</v>
      </c>
      <c r="K9" s="9">
        <f t="shared" si="1"/>
        <v>1</v>
      </c>
      <c r="L9" s="9">
        <f t="shared" si="9"/>
        <v>0</v>
      </c>
      <c r="M9" s="9">
        <f t="shared" si="10"/>
        <v>0</v>
      </c>
      <c r="N9" s="9">
        <f t="shared" si="2"/>
        <v>0</v>
      </c>
      <c r="O9" s="9">
        <f t="shared" si="3"/>
        <v>0</v>
      </c>
      <c r="P9" s="9">
        <f t="shared" si="4"/>
        <v>0</v>
      </c>
      <c r="Q9" s="17">
        <f t="shared" si="11"/>
        <v>0</v>
      </c>
      <c r="R9" s="17">
        <f t="shared" si="5"/>
        <v>120</v>
      </c>
      <c r="S9" s="17">
        <f t="shared" si="6"/>
        <v>0</v>
      </c>
      <c r="T9" s="17">
        <f t="shared" si="7"/>
        <v>0</v>
      </c>
      <c r="U9" s="17">
        <f t="shared" si="12"/>
        <v>0</v>
      </c>
      <c r="V9" s="17">
        <f t="shared" si="13"/>
        <v>0</v>
      </c>
      <c r="W9" s="17">
        <f t="shared" si="14"/>
        <v>0</v>
      </c>
      <c r="X9" s="17">
        <f t="shared" si="8"/>
        <v>0</v>
      </c>
      <c r="Y9" s="11"/>
      <c r="Z9" s="11"/>
      <c r="AA9" s="11"/>
      <c r="AB9" s="11"/>
      <c r="AC9" s="11"/>
      <c r="AD9" s="11"/>
      <c r="AE9" s="11"/>
      <c r="AF9" s="11"/>
    </row>
    <row r="10" spans="1:32" ht="15" customHeight="1" x14ac:dyDescent="0.25">
      <c r="A10" s="19" t="s">
        <v>8</v>
      </c>
      <c r="B10" s="6">
        <v>9</v>
      </c>
      <c r="C10" s="6">
        <v>0</v>
      </c>
      <c r="D10" s="6">
        <v>1</v>
      </c>
      <c r="E10" s="6">
        <v>0</v>
      </c>
      <c r="F10" s="6">
        <v>0</v>
      </c>
      <c r="G10" s="3">
        <v>93</v>
      </c>
      <c r="H10" s="7">
        <v>0</v>
      </c>
      <c r="I10" s="7">
        <v>1</v>
      </c>
      <c r="J10" s="9">
        <f t="shared" si="0"/>
        <v>1</v>
      </c>
      <c r="K10" s="9">
        <f t="shared" si="1"/>
        <v>1</v>
      </c>
      <c r="L10" s="9">
        <f t="shared" si="9"/>
        <v>0</v>
      </c>
      <c r="M10" s="9">
        <f t="shared" si="10"/>
        <v>0</v>
      </c>
      <c r="N10" s="9">
        <f t="shared" si="2"/>
        <v>0</v>
      </c>
      <c r="O10" s="9">
        <f t="shared" si="3"/>
        <v>0</v>
      </c>
      <c r="P10" s="9">
        <f t="shared" si="4"/>
        <v>0</v>
      </c>
      <c r="Q10" s="15">
        <f t="shared" si="11"/>
        <v>0</v>
      </c>
      <c r="R10" s="15">
        <f t="shared" si="5"/>
        <v>0</v>
      </c>
      <c r="S10" s="15">
        <f t="shared" si="6"/>
        <v>0</v>
      </c>
      <c r="T10" s="15">
        <f t="shared" si="7"/>
        <v>93</v>
      </c>
      <c r="U10" s="15">
        <f t="shared" si="12"/>
        <v>0</v>
      </c>
      <c r="V10" s="15">
        <f t="shared" si="13"/>
        <v>0</v>
      </c>
      <c r="W10" s="15">
        <f t="shared" si="14"/>
        <v>0</v>
      </c>
      <c r="X10" s="15">
        <f t="shared" si="8"/>
        <v>0</v>
      </c>
      <c r="Y10" s="11"/>
      <c r="Z10" s="11"/>
      <c r="AA10" s="11"/>
      <c r="AB10" s="11"/>
      <c r="AC10" s="11"/>
      <c r="AD10" s="11"/>
      <c r="AE10" s="11"/>
      <c r="AF10" s="11"/>
    </row>
    <row r="11" spans="1:32" ht="15.75" x14ac:dyDescent="0.25">
      <c r="A11" s="19" t="s">
        <v>17</v>
      </c>
      <c r="B11" s="6">
        <v>10</v>
      </c>
      <c r="C11" s="6">
        <v>0</v>
      </c>
      <c r="D11" s="6">
        <v>1</v>
      </c>
      <c r="E11" s="6">
        <v>0</v>
      </c>
      <c r="F11" s="6">
        <v>0</v>
      </c>
      <c r="G11" s="3">
        <v>81</v>
      </c>
      <c r="H11" s="7">
        <v>0</v>
      </c>
      <c r="I11" s="7">
        <v>0</v>
      </c>
      <c r="J11" s="9">
        <f t="shared" si="0"/>
        <v>0</v>
      </c>
      <c r="K11" s="9">
        <f t="shared" si="1"/>
        <v>0</v>
      </c>
      <c r="L11" s="9">
        <f t="shared" si="9"/>
        <v>0</v>
      </c>
      <c r="M11" s="9">
        <f t="shared" si="10"/>
        <v>0</v>
      </c>
      <c r="N11" s="9">
        <f t="shared" si="2"/>
        <v>0</v>
      </c>
      <c r="O11" s="9">
        <f t="shared" si="3"/>
        <v>0</v>
      </c>
      <c r="P11" s="9">
        <f t="shared" si="4"/>
        <v>0</v>
      </c>
      <c r="Q11" s="15">
        <f t="shared" si="11"/>
        <v>0</v>
      </c>
      <c r="R11" s="15">
        <f t="shared" si="5"/>
        <v>0</v>
      </c>
      <c r="S11" s="15">
        <f t="shared" si="6"/>
        <v>0</v>
      </c>
      <c r="T11" s="15">
        <f t="shared" si="7"/>
        <v>0</v>
      </c>
      <c r="U11" s="15">
        <f t="shared" si="12"/>
        <v>0</v>
      </c>
      <c r="V11" s="15">
        <f t="shared" si="13"/>
        <v>0</v>
      </c>
      <c r="W11" s="15">
        <f t="shared" si="14"/>
        <v>0</v>
      </c>
      <c r="X11" s="15">
        <f t="shared" si="8"/>
        <v>0</v>
      </c>
      <c r="Y11" s="11"/>
      <c r="Z11" s="11"/>
      <c r="AA11" s="11"/>
      <c r="AB11" s="11"/>
      <c r="AC11" s="11"/>
      <c r="AD11" s="11"/>
      <c r="AE11" s="11"/>
      <c r="AF11" s="11"/>
    </row>
    <row r="12" spans="1:32" ht="15.75" x14ac:dyDescent="0.25">
      <c r="A12" s="19" t="s">
        <v>11</v>
      </c>
      <c r="B12" s="6">
        <v>11</v>
      </c>
      <c r="C12" s="6">
        <v>0</v>
      </c>
      <c r="D12" s="6">
        <v>1</v>
      </c>
      <c r="E12" s="6">
        <v>0</v>
      </c>
      <c r="F12" s="6">
        <v>0</v>
      </c>
      <c r="G12" s="3">
        <v>93</v>
      </c>
      <c r="H12" s="7">
        <v>0</v>
      </c>
      <c r="I12" s="7">
        <v>0</v>
      </c>
      <c r="J12" s="9">
        <f t="shared" si="0"/>
        <v>0</v>
      </c>
      <c r="K12" s="9">
        <f t="shared" si="1"/>
        <v>0</v>
      </c>
      <c r="L12" s="9">
        <f t="shared" si="9"/>
        <v>0</v>
      </c>
      <c r="M12" s="9">
        <f t="shared" si="10"/>
        <v>0</v>
      </c>
      <c r="N12" s="9">
        <f t="shared" si="2"/>
        <v>0</v>
      </c>
      <c r="O12" s="9">
        <f t="shared" si="3"/>
        <v>0</v>
      </c>
      <c r="P12" s="9">
        <f t="shared" si="4"/>
        <v>0</v>
      </c>
      <c r="Q12" s="15">
        <f t="shared" si="11"/>
        <v>0</v>
      </c>
      <c r="R12" s="15">
        <f t="shared" si="5"/>
        <v>0</v>
      </c>
      <c r="S12" s="15">
        <f t="shared" si="6"/>
        <v>0</v>
      </c>
      <c r="T12" s="15">
        <f t="shared" si="7"/>
        <v>0</v>
      </c>
      <c r="U12" s="15">
        <f t="shared" si="12"/>
        <v>0</v>
      </c>
      <c r="V12" s="15">
        <f t="shared" si="13"/>
        <v>0</v>
      </c>
      <c r="W12" s="15">
        <f t="shared" si="14"/>
        <v>0</v>
      </c>
      <c r="X12" s="15">
        <f t="shared" si="8"/>
        <v>0</v>
      </c>
      <c r="Y12" s="11"/>
      <c r="Z12" s="11"/>
      <c r="AA12" s="11"/>
      <c r="AB12" s="11"/>
      <c r="AC12" s="11"/>
      <c r="AD12" s="11"/>
      <c r="AE12" s="11"/>
      <c r="AF12" s="11"/>
    </row>
    <row r="13" spans="1:32" ht="15.75" x14ac:dyDescent="0.25">
      <c r="A13" s="19" t="s">
        <v>3</v>
      </c>
      <c r="B13" s="6">
        <v>12</v>
      </c>
      <c r="C13" s="6">
        <v>0</v>
      </c>
      <c r="D13" s="6">
        <v>1</v>
      </c>
      <c r="E13" s="6">
        <v>0</v>
      </c>
      <c r="F13" s="6">
        <v>0</v>
      </c>
      <c r="G13" s="3">
        <v>103</v>
      </c>
      <c r="H13" s="7">
        <v>0</v>
      </c>
      <c r="I13" s="7">
        <v>1</v>
      </c>
      <c r="J13" s="9">
        <f t="shared" si="0"/>
        <v>1</v>
      </c>
      <c r="K13" s="9">
        <f t="shared" si="1"/>
        <v>1</v>
      </c>
      <c r="L13" s="9">
        <f t="shared" si="9"/>
        <v>0</v>
      </c>
      <c r="M13" s="9">
        <f t="shared" si="10"/>
        <v>0</v>
      </c>
      <c r="N13" s="9">
        <f t="shared" si="2"/>
        <v>0</v>
      </c>
      <c r="O13" s="9">
        <f t="shared" si="3"/>
        <v>0</v>
      </c>
      <c r="P13" s="9">
        <f t="shared" si="4"/>
        <v>0</v>
      </c>
      <c r="Q13" s="15">
        <f t="shared" si="11"/>
        <v>0</v>
      </c>
      <c r="R13" s="15">
        <f t="shared" si="5"/>
        <v>0</v>
      </c>
      <c r="S13" s="15">
        <f t="shared" si="6"/>
        <v>0</v>
      </c>
      <c r="T13" s="15">
        <f t="shared" si="7"/>
        <v>103</v>
      </c>
      <c r="U13" s="15">
        <f t="shared" si="12"/>
        <v>0</v>
      </c>
      <c r="V13" s="15">
        <f t="shared" si="13"/>
        <v>0</v>
      </c>
      <c r="W13" s="15">
        <f t="shared" si="14"/>
        <v>0</v>
      </c>
      <c r="X13" s="15">
        <f t="shared" si="8"/>
        <v>0</v>
      </c>
      <c r="Y13" s="11"/>
      <c r="Z13" s="11"/>
      <c r="AA13" s="11"/>
      <c r="AB13" s="11"/>
      <c r="AC13" s="11"/>
      <c r="AD13" s="11"/>
      <c r="AE13" s="11"/>
      <c r="AF13" s="11"/>
    </row>
    <row r="14" spans="1:32" ht="15.75" x14ac:dyDescent="0.25">
      <c r="A14" s="19" t="s">
        <v>15</v>
      </c>
      <c r="B14" s="6">
        <v>13</v>
      </c>
      <c r="C14" s="6">
        <v>0</v>
      </c>
      <c r="D14" s="6">
        <v>1</v>
      </c>
      <c r="E14" s="6">
        <v>0</v>
      </c>
      <c r="F14" s="6">
        <v>0</v>
      </c>
      <c r="G14" s="3">
        <v>82</v>
      </c>
      <c r="H14" s="7">
        <v>0</v>
      </c>
      <c r="I14" s="7">
        <v>0</v>
      </c>
      <c r="J14" s="9">
        <f t="shared" si="0"/>
        <v>0</v>
      </c>
      <c r="K14" s="9">
        <f t="shared" si="1"/>
        <v>0</v>
      </c>
      <c r="L14" s="9">
        <f t="shared" si="9"/>
        <v>0</v>
      </c>
      <c r="M14" s="9">
        <f t="shared" si="10"/>
        <v>0</v>
      </c>
      <c r="N14" s="9">
        <f t="shared" si="2"/>
        <v>0</v>
      </c>
      <c r="O14" s="9">
        <f t="shared" si="3"/>
        <v>0</v>
      </c>
      <c r="P14" s="9">
        <f t="shared" si="4"/>
        <v>0</v>
      </c>
      <c r="Q14" s="15">
        <f t="shared" si="11"/>
        <v>0</v>
      </c>
      <c r="R14" s="15">
        <f t="shared" si="5"/>
        <v>0</v>
      </c>
      <c r="S14" s="15">
        <f t="shared" si="6"/>
        <v>0</v>
      </c>
      <c r="T14" s="15">
        <f t="shared" si="7"/>
        <v>0</v>
      </c>
      <c r="U14" s="15">
        <f t="shared" si="12"/>
        <v>0</v>
      </c>
      <c r="V14" s="15">
        <f t="shared" si="13"/>
        <v>0</v>
      </c>
      <c r="W14" s="15">
        <f t="shared" si="14"/>
        <v>0</v>
      </c>
      <c r="X14" s="15">
        <f t="shared" si="8"/>
        <v>0</v>
      </c>
      <c r="Y14" s="11"/>
      <c r="Z14" s="11"/>
      <c r="AA14" s="11"/>
      <c r="AB14" s="11"/>
      <c r="AC14" s="11"/>
      <c r="AD14" s="11"/>
      <c r="AE14" s="11"/>
      <c r="AF14" s="11"/>
    </row>
    <row r="15" spans="1:32" ht="15.75" x14ac:dyDescent="0.25">
      <c r="A15" s="19" t="s">
        <v>14</v>
      </c>
      <c r="B15" s="6">
        <v>14</v>
      </c>
      <c r="C15" s="6">
        <v>0</v>
      </c>
      <c r="D15" s="6">
        <v>1</v>
      </c>
      <c r="E15" s="6">
        <v>0</v>
      </c>
      <c r="F15" s="6">
        <v>0</v>
      </c>
      <c r="G15" s="3">
        <v>85</v>
      </c>
      <c r="H15" s="7">
        <v>0</v>
      </c>
      <c r="I15" s="7">
        <v>0</v>
      </c>
      <c r="J15" s="9">
        <f t="shared" si="0"/>
        <v>0</v>
      </c>
      <c r="K15" s="9">
        <f t="shared" si="1"/>
        <v>0</v>
      </c>
      <c r="L15" s="9">
        <f t="shared" si="9"/>
        <v>0</v>
      </c>
      <c r="M15" s="9">
        <f t="shared" si="10"/>
        <v>0</v>
      </c>
      <c r="N15" s="9">
        <f t="shared" si="2"/>
        <v>0</v>
      </c>
      <c r="O15" s="9">
        <f t="shared" si="3"/>
        <v>0</v>
      </c>
      <c r="P15" s="9">
        <f t="shared" si="4"/>
        <v>0</v>
      </c>
      <c r="Q15" s="15">
        <f t="shared" si="11"/>
        <v>0</v>
      </c>
      <c r="R15" s="15">
        <f t="shared" si="5"/>
        <v>0</v>
      </c>
      <c r="S15" s="15">
        <f t="shared" si="6"/>
        <v>0</v>
      </c>
      <c r="T15" s="15">
        <f t="shared" si="7"/>
        <v>0</v>
      </c>
      <c r="U15" s="15">
        <f t="shared" si="12"/>
        <v>0</v>
      </c>
      <c r="V15" s="15">
        <f t="shared" si="13"/>
        <v>0</v>
      </c>
      <c r="W15" s="15">
        <f t="shared" si="14"/>
        <v>0</v>
      </c>
      <c r="X15" s="15">
        <f t="shared" si="8"/>
        <v>0</v>
      </c>
      <c r="Y15" s="11"/>
      <c r="Z15" s="11"/>
      <c r="AA15" s="11"/>
      <c r="AB15" s="11"/>
      <c r="AC15" s="11"/>
      <c r="AD15" s="11"/>
      <c r="AE15" s="11"/>
      <c r="AF15" s="11"/>
    </row>
    <row r="16" spans="1:32" ht="15.75" x14ac:dyDescent="0.25">
      <c r="A16" s="19" t="s">
        <v>7</v>
      </c>
      <c r="B16" s="6">
        <v>15</v>
      </c>
      <c r="C16" s="6">
        <v>0</v>
      </c>
      <c r="D16" s="6">
        <v>1</v>
      </c>
      <c r="E16" s="6">
        <v>0</v>
      </c>
      <c r="F16" s="6">
        <v>0</v>
      </c>
      <c r="G16" s="3">
        <v>97</v>
      </c>
      <c r="H16" s="7">
        <v>0</v>
      </c>
      <c r="I16" s="7">
        <v>1</v>
      </c>
      <c r="J16" s="9">
        <f t="shared" si="0"/>
        <v>1</v>
      </c>
      <c r="K16" s="9">
        <f t="shared" si="1"/>
        <v>1</v>
      </c>
      <c r="L16" s="9">
        <f t="shared" si="9"/>
        <v>0</v>
      </c>
      <c r="M16" s="9">
        <f t="shared" si="10"/>
        <v>0</v>
      </c>
      <c r="N16" s="9">
        <f t="shared" si="2"/>
        <v>0</v>
      </c>
      <c r="O16" s="9">
        <f t="shared" si="3"/>
        <v>0</v>
      </c>
      <c r="P16" s="9">
        <f t="shared" si="4"/>
        <v>0</v>
      </c>
      <c r="Q16" s="15">
        <f t="shared" si="11"/>
        <v>0</v>
      </c>
      <c r="R16" s="15">
        <f t="shared" si="5"/>
        <v>0</v>
      </c>
      <c r="S16" s="15">
        <f t="shared" si="6"/>
        <v>0</v>
      </c>
      <c r="T16" s="15">
        <f t="shared" si="7"/>
        <v>97</v>
      </c>
      <c r="U16" s="15">
        <f t="shared" si="12"/>
        <v>0</v>
      </c>
      <c r="V16" s="15">
        <f t="shared" si="13"/>
        <v>0</v>
      </c>
      <c r="W16" s="15">
        <f t="shared" si="14"/>
        <v>0</v>
      </c>
      <c r="X16" s="15">
        <f t="shared" si="8"/>
        <v>0</v>
      </c>
      <c r="Y16" s="11"/>
      <c r="Z16" s="11"/>
      <c r="AA16" s="11"/>
      <c r="AB16" s="11"/>
      <c r="AC16" s="11"/>
      <c r="AD16" s="11"/>
      <c r="AE16" s="11"/>
      <c r="AF16" s="11"/>
    </row>
    <row r="17" spans="1:32" ht="15.75" x14ac:dyDescent="0.25">
      <c r="A17" s="19" t="s">
        <v>24</v>
      </c>
      <c r="B17" s="6">
        <v>16</v>
      </c>
      <c r="C17" s="6">
        <v>0</v>
      </c>
      <c r="D17" s="6">
        <v>1</v>
      </c>
      <c r="E17" s="6">
        <v>0</v>
      </c>
      <c r="F17" s="6">
        <v>0</v>
      </c>
      <c r="G17" s="3">
        <v>69</v>
      </c>
      <c r="H17" s="7">
        <v>0</v>
      </c>
      <c r="I17" s="7">
        <v>0</v>
      </c>
      <c r="J17" s="9">
        <f t="shared" si="0"/>
        <v>0</v>
      </c>
      <c r="K17" s="9">
        <f t="shared" si="1"/>
        <v>0</v>
      </c>
      <c r="L17" s="9">
        <f t="shared" si="9"/>
        <v>0</v>
      </c>
      <c r="M17" s="9">
        <f t="shared" si="10"/>
        <v>0</v>
      </c>
      <c r="N17" s="9">
        <f t="shared" si="2"/>
        <v>0</v>
      </c>
      <c r="O17" s="9">
        <f t="shared" si="3"/>
        <v>0</v>
      </c>
      <c r="P17" s="9">
        <f t="shared" si="4"/>
        <v>0</v>
      </c>
      <c r="Q17" s="15">
        <f t="shared" si="11"/>
        <v>0</v>
      </c>
      <c r="R17" s="15">
        <f t="shared" si="5"/>
        <v>0</v>
      </c>
      <c r="S17" s="15">
        <f t="shared" si="6"/>
        <v>0</v>
      </c>
      <c r="T17" s="15">
        <f t="shared" si="7"/>
        <v>0</v>
      </c>
      <c r="U17" s="15">
        <f t="shared" si="12"/>
        <v>0</v>
      </c>
      <c r="V17" s="15">
        <f t="shared" si="13"/>
        <v>0</v>
      </c>
      <c r="W17" s="15">
        <f t="shared" si="14"/>
        <v>0</v>
      </c>
      <c r="X17" s="15">
        <f t="shared" si="8"/>
        <v>0</v>
      </c>
      <c r="Y17" s="11"/>
      <c r="Z17" s="11"/>
      <c r="AA17" s="11"/>
      <c r="AB17" s="11"/>
      <c r="AC17" s="11"/>
      <c r="AD17" s="11"/>
      <c r="AE17" s="11"/>
      <c r="AF17" s="11"/>
    </row>
    <row r="18" spans="1:32" ht="15.75" x14ac:dyDescent="0.25">
      <c r="A18" s="20" t="s">
        <v>4</v>
      </c>
      <c r="B18" s="6">
        <v>17</v>
      </c>
      <c r="C18" s="6">
        <v>0</v>
      </c>
      <c r="D18" s="6">
        <v>0</v>
      </c>
      <c r="E18" s="6">
        <v>1</v>
      </c>
      <c r="F18" s="6">
        <v>0</v>
      </c>
      <c r="G18" s="3">
        <v>103</v>
      </c>
      <c r="H18" s="7">
        <v>0</v>
      </c>
      <c r="I18" s="7">
        <v>1</v>
      </c>
      <c r="J18" s="9">
        <f t="shared" si="0"/>
        <v>1</v>
      </c>
      <c r="K18" s="9">
        <f t="shared" si="1"/>
        <v>0</v>
      </c>
      <c r="L18" s="9">
        <f t="shared" si="9"/>
        <v>1</v>
      </c>
      <c r="M18" s="9">
        <f t="shared" si="10"/>
        <v>0</v>
      </c>
      <c r="N18" s="9">
        <f t="shared" si="2"/>
        <v>0</v>
      </c>
      <c r="O18" s="9">
        <f t="shared" si="3"/>
        <v>0</v>
      </c>
      <c r="P18" s="9">
        <f t="shared" si="4"/>
        <v>0</v>
      </c>
      <c r="Q18" s="16">
        <f t="shared" si="11"/>
        <v>0</v>
      </c>
      <c r="R18" s="16">
        <f t="shared" si="5"/>
        <v>0</v>
      </c>
      <c r="S18" s="16">
        <f t="shared" si="6"/>
        <v>0</v>
      </c>
      <c r="T18" s="16">
        <f t="shared" si="7"/>
        <v>0</v>
      </c>
      <c r="U18" s="16">
        <f t="shared" si="12"/>
        <v>0</v>
      </c>
      <c r="V18" s="16">
        <f t="shared" si="13"/>
        <v>103</v>
      </c>
      <c r="W18" s="16">
        <f t="shared" si="14"/>
        <v>0</v>
      </c>
      <c r="X18" s="16">
        <f t="shared" si="8"/>
        <v>0</v>
      </c>
      <c r="Y18" s="11"/>
      <c r="Z18" s="11"/>
      <c r="AA18" s="11"/>
      <c r="AB18" s="11"/>
      <c r="AC18" s="11"/>
      <c r="AD18" s="11"/>
      <c r="AE18" s="11"/>
      <c r="AF18" s="11"/>
    </row>
    <row r="19" spans="1:32" ht="15.75" x14ac:dyDescent="0.25">
      <c r="A19" s="20" t="s">
        <v>12</v>
      </c>
      <c r="B19" s="6">
        <v>18</v>
      </c>
      <c r="C19" s="6">
        <v>0</v>
      </c>
      <c r="D19" s="6">
        <v>0</v>
      </c>
      <c r="E19" s="6">
        <v>1</v>
      </c>
      <c r="F19" s="6">
        <v>0</v>
      </c>
      <c r="G19" s="3">
        <v>82</v>
      </c>
      <c r="H19" s="7">
        <v>0</v>
      </c>
      <c r="I19" s="7">
        <v>0</v>
      </c>
      <c r="J19" s="9">
        <f t="shared" si="0"/>
        <v>0</v>
      </c>
      <c r="K19" s="9">
        <f t="shared" si="1"/>
        <v>0</v>
      </c>
      <c r="L19" s="9">
        <f t="shared" si="9"/>
        <v>0</v>
      </c>
      <c r="M19" s="9">
        <f t="shared" si="10"/>
        <v>0</v>
      </c>
      <c r="N19" s="9">
        <f t="shared" si="2"/>
        <v>0</v>
      </c>
      <c r="O19" s="9">
        <f t="shared" si="3"/>
        <v>0</v>
      </c>
      <c r="P19" s="9">
        <f t="shared" si="4"/>
        <v>0</v>
      </c>
      <c r="Q19" s="16">
        <f t="shared" si="11"/>
        <v>0</v>
      </c>
      <c r="R19" s="16">
        <f t="shared" si="5"/>
        <v>0</v>
      </c>
      <c r="S19" s="16">
        <f t="shared" si="6"/>
        <v>0</v>
      </c>
      <c r="T19" s="16">
        <f t="shared" si="7"/>
        <v>0</v>
      </c>
      <c r="U19" s="16">
        <f t="shared" si="12"/>
        <v>0</v>
      </c>
      <c r="V19" s="16">
        <f t="shared" si="13"/>
        <v>0</v>
      </c>
      <c r="W19" s="16">
        <f t="shared" si="14"/>
        <v>0</v>
      </c>
      <c r="X19" s="16">
        <f t="shared" si="8"/>
        <v>0</v>
      </c>
      <c r="Y19" s="11"/>
      <c r="Z19" s="11"/>
      <c r="AA19" s="11"/>
      <c r="AB19" s="11"/>
      <c r="AC19" s="11"/>
      <c r="AD19" s="11"/>
      <c r="AE19" s="11"/>
      <c r="AF19" s="11"/>
    </row>
    <row r="20" spans="1:32" ht="15.75" x14ac:dyDescent="0.25">
      <c r="A20" s="20" t="s">
        <v>1</v>
      </c>
      <c r="B20" s="6">
        <v>19</v>
      </c>
      <c r="C20" s="6">
        <v>0</v>
      </c>
      <c r="D20" s="6">
        <v>0</v>
      </c>
      <c r="E20" s="6">
        <v>1</v>
      </c>
      <c r="F20" s="6">
        <v>0</v>
      </c>
      <c r="G20" s="3">
        <v>109</v>
      </c>
      <c r="H20" s="7">
        <v>0</v>
      </c>
      <c r="I20" s="7">
        <v>1</v>
      </c>
      <c r="J20" s="9">
        <f t="shared" si="0"/>
        <v>1</v>
      </c>
      <c r="K20" s="9">
        <f t="shared" si="1"/>
        <v>0</v>
      </c>
      <c r="L20" s="9">
        <f t="shared" si="9"/>
        <v>1</v>
      </c>
      <c r="M20" s="9">
        <f t="shared" si="10"/>
        <v>0</v>
      </c>
      <c r="N20" s="9">
        <f t="shared" si="2"/>
        <v>0</v>
      </c>
      <c r="O20" s="9">
        <f t="shared" si="3"/>
        <v>0</v>
      </c>
      <c r="P20" s="9">
        <f t="shared" si="4"/>
        <v>0</v>
      </c>
      <c r="Q20" s="16">
        <f t="shared" si="11"/>
        <v>0</v>
      </c>
      <c r="R20" s="16">
        <f t="shared" si="5"/>
        <v>0</v>
      </c>
      <c r="S20" s="16">
        <f t="shared" si="6"/>
        <v>0</v>
      </c>
      <c r="T20" s="16">
        <f t="shared" si="7"/>
        <v>0</v>
      </c>
      <c r="U20" s="16">
        <f t="shared" si="12"/>
        <v>0</v>
      </c>
      <c r="V20" s="16">
        <f t="shared" si="13"/>
        <v>109</v>
      </c>
      <c r="W20" s="16">
        <f t="shared" si="14"/>
        <v>0</v>
      </c>
      <c r="X20" s="16">
        <f t="shared" si="8"/>
        <v>0</v>
      </c>
      <c r="Y20" s="11"/>
      <c r="Z20" s="11"/>
      <c r="AA20" s="11"/>
      <c r="AB20" s="11"/>
      <c r="AC20" s="11"/>
      <c r="AD20" s="11"/>
      <c r="AE20" s="11"/>
      <c r="AF20" s="11"/>
    </row>
    <row r="21" spans="1:32" ht="15.75" x14ac:dyDescent="0.25">
      <c r="A21" s="20" t="s">
        <v>13</v>
      </c>
      <c r="B21" s="6">
        <v>20</v>
      </c>
      <c r="C21" s="6">
        <v>0</v>
      </c>
      <c r="D21" s="6">
        <v>0</v>
      </c>
      <c r="E21" s="6">
        <v>1</v>
      </c>
      <c r="F21" s="6">
        <v>0</v>
      </c>
      <c r="G21" s="3">
        <v>87</v>
      </c>
      <c r="H21" s="7">
        <v>0</v>
      </c>
      <c r="I21" s="7">
        <v>1</v>
      </c>
      <c r="J21" s="9">
        <f t="shared" si="0"/>
        <v>1</v>
      </c>
      <c r="K21" s="9">
        <f t="shared" si="1"/>
        <v>0</v>
      </c>
      <c r="L21" s="9">
        <f t="shared" si="9"/>
        <v>1</v>
      </c>
      <c r="M21" s="9">
        <f t="shared" si="10"/>
        <v>0</v>
      </c>
      <c r="N21" s="9">
        <f t="shared" si="2"/>
        <v>0</v>
      </c>
      <c r="O21" s="9">
        <f t="shared" si="3"/>
        <v>0</v>
      </c>
      <c r="P21" s="9">
        <f t="shared" si="4"/>
        <v>0</v>
      </c>
      <c r="Q21" s="16">
        <f t="shared" si="11"/>
        <v>0</v>
      </c>
      <c r="R21" s="16">
        <f t="shared" si="5"/>
        <v>0</v>
      </c>
      <c r="S21" s="16">
        <f t="shared" si="6"/>
        <v>0</v>
      </c>
      <c r="T21" s="16">
        <f t="shared" si="7"/>
        <v>0</v>
      </c>
      <c r="U21" s="16">
        <f t="shared" si="12"/>
        <v>0</v>
      </c>
      <c r="V21" s="16">
        <f t="shared" si="13"/>
        <v>87</v>
      </c>
      <c r="W21" s="16">
        <f t="shared" si="14"/>
        <v>0</v>
      </c>
      <c r="X21" s="16">
        <f t="shared" si="8"/>
        <v>0</v>
      </c>
      <c r="Y21" s="11"/>
      <c r="Z21" s="11"/>
      <c r="AA21" s="11"/>
      <c r="AB21" s="11"/>
      <c r="AC21" s="11"/>
      <c r="AD21" s="11"/>
      <c r="AE21" s="11"/>
      <c r="AF21" s="11"/>
    </row>
    <row r="22" spans="1:32" ht="15.75" x14ac:dyDescent="0.25">
      <c r="A22" s="20" t="s">
        <v>10</v>
      </c>
      <c r="B22" s="6">
        <v>21</v>
      </c>
      <c r="C22" s="6">
        <v>0</v>
      </c>
      <c r="D22" s="6">
        <v>0</v>
      </c>
      <c r="E22" s="6">
        <v>1</v>
      </c>
      <c r="F22" s="6">
        <v>0</v>
      </c>
      <c r="G22" s="3">
        <v>96</v>
      </c>
      <c r="H22" s="7">
        <v>0</v>
      </c>
      <c r="I22" s="7">
        <v>1</v>
      </c>
      <c r="J22" s="9">
        <f t="shared" si="0"/>
        <v>1</v>
      </c>
      <c r="K22" s="9">
        <f t="shared" si="1"/>
        <v>0</v>
      </c>
      <c r="L22" s="9">
        <f t="shared" si="9"/>
        <v>1</v>
      </c>
      <c r="M22" s="9">
        <f t="shared" si="10"/>
        <v>0</v>
      </c>
      <c r="N22" s="9">
        <f t="shared" si="2"/>
        <v>0</v>
      </c>
      <c r="O22" s="9">
        <f t="shared" si="3"/>
        <v>0</v>
      </c>
      <c r="P22" s="9">
        <f t="shared" si="4"/>
        <v>0</v>
      </c>
      <c r="Q22" s="16">
        <f t="shared" si="11"/>
        <v>0</v>
      </c>
      <c r="R22" s="16">
        <f t="shared" si="5"/>
        <v>0</v>
      </c>
      <c r="S22" s="16">
        <f t="shared" si="6"/>
        <v>0</v>
      </c>
      <c r="T22" s="16">
        <f t="shared" si="7"/>
        <v>0</v>
      </c>
      <c r="U22" s="16">
        <f t="shared" si="12"/>
        <v>0</v>
      </c>
      <c r="V22" s="16">
        <f t="shared" si="13"/>
        <v>96</v>
      </c>
      <c r="W22" s="16">
        <f t="shared" si="14"/>
        <v>0</v>
      </c>
      <c r="X22" s="16">
        <f t="shared" si="8"/>
        <v>0</v>
      </c>
      <c r="Y22" s="11"/>
      <c r="Z22" s="11"/>
      <c r="AA22" s="11"/>
      <c r="AB22" s="11"/>
      <c r="AC22" s="11"/>
      <c r="AD22" s="11"/>
      <c r="AE22" s="11"/>
      <c r="AF22" s="11"/>
    </row>
    <row r="23" spans="1:32" ht="15.75" x14ac:dyDescent="0.25">
      <c r="A23" s="20" t="s">
        <v>2</v>
      </c>
      <c r="B23" s="6">
        <v>22</v>
      </c>
      <c r="C23" s="6">
        <v>0</v>
      </c>
      <c r="D23" s="6">
        <v>0</v>
      </c>
      <c r="E23" s="6">
        <v>1</v>
      </c>
      <c r="F23" s="6">
        <v>0</v>
      </c>
      <c r="G23" s="3">
        <v>107</v>
      </c>
      <c r="H23" s="7">
        <v>0</v>
      </c>
      <c r="I23" s="7">
        <v>1</v>
      </c>
      <c r="J23" s="9">
        <f t="shared" si="0"/>
        <v>1</v>
      </c>
      <c r="K23" s="9">
        <f t="shared" si="1"/>
        <v>0</v>
      </c>
      <c r="L23" s="9">
        <f t="shared" si="9"/>
        <v>1</v>
      </c>
      <c r="M23" s="9">
        <f t="shared" si="10"/>
        <v>0</v>
      </c>
      <c r="N23" s="9">
        <f t="shared" si="2"/>
        <v>0</v>
      </c>
      <c r="O23" s="9">
        <f t="shared" si="3"/>
        <v>0</v>
      </c>
      <c r="P23" s="9">
        <f t="shared" si="4"/>
        <v>0</v>
      </c>
      <c r="Q23" s="16">
        <f t="shared" si="11"/>
        <v>0</v>
      </c>
      <c r="R23" s="16">
        <f t="shared" si="5"/>
        <v>0</v>
      </c>
      <c r="S23" s="16">
        <f t="shared" si="6"/>
        <v>0</v>
      </c>
      <c r="T23" s="16">
        <f t="shared" si="7"/>
        <v>0</v>
      </c>
      <c r="U23" s="16">
        <f t="shared" si="12"/>
        <v>0</v>
      </c>
      <c r="V23" s="16">
        <f t="shared" si="13"/>
        <v>107</v>
      </c>
      <c r="W23" s="16">
        <f t="shared" si="14"/>
        <v>0</v>
      </c>
      <c r="X23" s="16">
        <f t="shared" si="8"/>
        <v>0</v>
      </c>
      <c r="Y23" s="11"/>
      <c r="Z23" s="11"/>
      <c r="AA23" s="11"/>
      <c r="AB23" s="11"/>
      <c r="AC23" s="11"/>
      <c r="AD23" s="11"/>
      <c r="AE23" s="11"/>
      <c r="AF23" s="11"/>
    </row>
    <row r="24" spans="1:32" ht="15.75" x14ac:dyDescent="0.25">
      <c r="A24" s="20" t="s">
        <v>19</v>
      </c>
      <c r="B24" s="6">
        <v>23</v>
      </c>
      <c r="C24" s="6">
        <v>0</v>
      </c>
      <c r="D24" s="6">
        <v>0</v>
      </c>
      <c r="E24" s="6">
        <v>1</v>
      </c>
      <c r="F24" s="6">
        <v>0</v>
      </c>
      <c r="G24" s="3">
        <v>78</v>
      </c>
      <c r="H24" s="7">
        <v>0</v>
      </c>
      <c r="I24" s="7">
        <v>0</v>
      </c>
      <c r="J24" s="9">
        <f t="shared" si="0"/>
        <v>0</v>
      </c>
      <c r="K24" s="9">
        <f t="shared" si="1"/>
        <v>0</v>
      </c>
      <c r="L24" s="9">
        <f t="shared" si="9"/>
        <v>0</v>
      </c>
      <c r="M24" s="9">
        <f t="shared" si="10"/>
        <v>0</v>
      </c>
      <c r="N24" s="9">
        <f t="shared" si="2"/>
        <v>0</v>
      </c>
      <c r="O24" s="9">
        <f t="shared" si="3"/>
        <v>0</v>
      </c>
      <c r="P24" s="9">
        <f t="shared" si="4"/>
        <v>0</v>
      </c>
      <c r="Q24" s="16">
        <f t="shared" si="11"/>
        <v>0</v>
      </c>
      <c r="R24" s="16">
        <f t="shared" si="5"/>
        <v>0</v>
      </c>
      <c r="S24" s="16">
        <f t="shared" si="6"/>
        <v>0</v>
      </c>
      <c r="T24" s="16">
        <f t="shared" si="7"/>
        <v>0</v>
      </c>
      <c r="U24" s="16">
        <f t="shared" si="12"/>
        <v>0</v>
      </c>
      <c r="V24" s="16">
        <f t="shared" si="13"/>
        <v>0</v>
      </c>
      <c r="W24" s="16">
        <f t="shared" si="14"/>
        <v>0</v>
      </c>
      <c r="X24" s="16">
        <f t="shared" si="8"/>
        <v>0</v>
      </c>
      <c r="Y24" s="11"/>
      <c r="Z24" s="11"/>
      <c r="AA24" s="11"/>
      <c r="AB24" s="11"/>
      <c r="AC24" s="11"/>
      <c r="AD24" s="11"/>
      <c r="AE24" s="11"/>
      <c r="AF24" s="11"/>
    </row>
    <row r="25" spans="1:32" ht="15.75" x14ac:dyDescent="0.25">
      <c r="A25" s="21" t="s">
        <v>5</v>
      </c>
      <c r="B25" s="6">
        <v>24</v>
      </c>
      <c r="C25" s="6">
        <v>0</v>
      </c>
      <c r="D25" s="6">
        <v>0</v>
      </c>
      <c r="E25" s="6">
        <v>0</v>
      </c>
      <c r="F25" s="6">
        <v>1</v>
      </c>
      <c r="G25" s="3">
        <v>103</v>
      </c>
      <c r="H25" s="7">
        <v>0</v>
      </c>
      <c r="I25" s="7">
        <v>1</v>
      </c>
      <c r="J25" s="9">
        <f t="shared" si="0"/>
        <v>1</v>
      </c>
      <c r="K25" s="9">
        <f t="shared" si="1"/>
        <v>0</v>
      </c>
      <c r="L25" s="9">
        <f t="shared" si="9"/>
        <v>1</v>
      </c>
      <c r="M25" s="9">
        <f t="shared" si="10"/>
        <v>0</v>
      </c>
      <c r="N25" s="9">
        <f t="shared" si="2"/>
        <v>0</v>
      </c>
      <c r="O25" s="9">
        <f t="shared" si="3"/>
        <v>0</v>
      </c>
      <c r="P25" s="9">
        <f t="shared" si="4"/>
        <v>0</v>
      </c>
      <c r="Q25" s="14">
        <f t="shared" si="11"/>
        <v>0</v>
      </c>
      <c r="R25" s="14">
        <f t="shared" si="5"/>
        <v>0</v>
      </c>
      <c r="S25" s="14">
        <f t="shared" si="6"/>
        <v>0</v>
      </c>
      <c r="T25" s="14">
        <f t="shared" si="7"/>
        <v>0</v>
      </c>
      <c r="U25" s="14">
        <f t="shared" si="12"/>
        <v>0</v>
      </c>
      <c r="V25" s="14">
        <f t="shared" si="13"/>
        <v>0</v>
      </c>
      <c r="W25" s="14">
        <f t="shared" si="14"/>
        <v>0</v>
      </c>
      <c r="X25" s="14">
        <f t="shared" si="8"/>
        <v>103</v>
      </c>
      <c r="Y25" s="11"/>
      <c r="Z25" s="11"/>
      <c r="AA25" s="11"/>
      <c r="AB25" s="11"/>
      <c r="AC25" s="11"/>
      <c r="AD25" s="11"/>
      <c r="AE25" s="11"/>
      <c r="AF25" s="11"/>
    </row>
    <row r="26" spans="1:32" ht="15.75" x14ac:dyDescent="0.25">
      <c r="A26" s="21" t="s">
        <v>18</v>
      </c>
      <c r="B26" s="6">
        <v>25</v>
      </c>
      <c r="C26" s="6">
        <v>0</v>
      </c>
      <c r="D26" s="6">
        <v>0</v>
      </c>
      <c r="E26" s="6">
        <v>0</v>
      </c>
      <c r="F26" s="6">
        <v>1</v>
      </c>
      <c r="G26" s="3">
        <v>78</v>
      </c>
      <c r="H26" s="7">
        <v>0</v>
      </c>
      <c r="I26" s="7">
        <v>0</v>
      </c>
      <c r="J26" s="9">
        <f t="shared" si="0"/>
        <v>0</v>
      </c>
      <c r="K26" s="9">
        <f t="shared" si="1"/>
        <v>0</v>
      </c>
      <c r="L26" s="9">
        <f t="shared" si="9"/>
        <v>0</v>
      </c>
      <c r="M26" s="9">
        <f t="shared" si="10"/>
        <v>0</v>
      </c>
      <c r="N26" s="9">
        <f t="shared" si="2"/>
        <v>0</v>
      </c>
      <c r="O26" s="9">
        <f t="shared" si="3"/>
        <v>0</v>
      </c>
      <c r="P26" s="9">
        <f t="shared" si="4"/>
        <v>0</v>
      </c>
      <c r="Q26" s="14">
        <f t="shared" si="11"/>
        <v>0</v>
      </c>
      <c r="R26" s="14">
        <f t="shared" si="5"/>
        <v>0</v>
      </c>
      <c r="S26" s="14">
        <f t="shared" si="6"/>
        <v>0</v>
      </c>
      <c r="T26" s="14">
        <f t="shared" si="7"/>
        <v>0</v>
      </c>
      <c r="U26" s="14">
        <f t="shared" si="12"/>
        <v>0</v>
      </c>
      <c r="V26" s="14">
        <f t="shared" si="13"/>
        <v>0</v>
      </c>
      <c r="W26" s="14">
        <f t="shared" si="14"/>
        <v>0</v>
      </c>
      <c r="X26" s="14">
        <f t="shared" si="8"/>
        <v>0</v>
      </c>
      <c r="Y26" s="11"/>
      <c r="Z26" s="11"/>
      <c r="AA26" s="11"/>
      <c r="AB26" s="11"/>
      <c r="AC26" s="11"/>
      <c r="AD26" s="11"/>
      <c r="AE26" s="11"/>
      <c r="AF26" s="11"/>
    </row>
    <row r="27" spans="1:32" ht="15.75" x14ac:dyDescent="0.25">
      <c r="A27" s="21" t="s">
        <v>20</v>
      </c>
      <c r="B27" s="6">
        <v>26</v>
      </c>
      <c r="C27" s="6">
        <v>0</v>
      </c>
      <c r="D27" s="6">
        <v>0</v>
      </c>
      <c r="E27" s="6">
        <v>0</v>
      </c>
      <c r="F27" s="6">
        <v>1</v>
      </c>
      <c r="G27" s="3">
        <v>77</v>
      </c>
      <c r="H27" s="7">
        <v>0</v>
      </c>
      <c r="I27" s="7">
        <v>0</v>
      </c>
      <c r="J27" s="9">
        <f t="shared" si="0"/>
        <v>0</v>
      </c>
      <c r="K27" s="9">
        <f t="shared" si="1"/>
        <v>0</v>
      </c>
      <c r="L27" s="9">
        <f t="shared" si="9"/>
        <v>0</v>
      </c>
      <c r="M27" s="9">
        <f t="shared" si="10"/>
        <v>0</v>
      </c>
      <c r="N27" s="9">
        <f t="shared" si="2"/>
        <v>0</v>
      </c>
      <c r="O27" s="9">
        <f t="shared" si="3"/>
        <v>0</v>
      </c>
      <c r="P27" s="9">
        <f t="shared" si="4"/>
        <v>0</v>
      </c>
      <c r="Q27" s="14">
        <f t="shared" si="11"/>
        <v>0</v>
      </c>
      <c r="R27" s="14">
        <f t="shared" si="5"/>
        <v>0</v>
      </c>
      <c r="S27" s="14">
        <f t="shared" si="6"/>
        <v>0</v>
      </c>
      <c r="T27" s="14">
        <f t="shared" si="7"/>
        <v>0</v>
      </c>
      <c r="U27" s="14">
        <f t="shared" si="12"/>
        <v>0</v>
      </c>
      <c r="V27" s="14">
        <f t="shared" si="13"/>
        <v>0</v>
      </c>
      <c r="W27" s="14">
        <f t="shared" si="14"/>
        <v>0</v>
      </c>
      <c r="X27" s="14">
        <f t="shared" si="8"/>
        <v>0</v>
      </c>
      <c r="Y27" s="11"/>
      <c r="Z27" s="11"/>
      <c r="AA27" s="11"/>
      <c r="AB27" s="11"/>
      <c r="AC27" s="11"/>
      <c r="AD27" s="11"/>
      <c r="AE27" s="11"/>
      <c r="AF27" s="11"/>
    </row>
    <row r="28" spans="1:32" ht="15.75" x14ac:dyDescent="0.25">
      <c r="A28" s="21" t="s">
        <v>23</v>
      </c>
      <c r="B28" s="6">
        <v>27</v>
      </c>
      <c r="C28" s="6">
        <v>0</v>
      </c>
      <c r="D28" s="6">
        <v>0</v>
      </c>
      <c r="E28" s="6">
        <v>0</v>
      </c>
      <c r="F28" s="6">
        <v>1</v>
      </c>
      <c r="G28" s="3">
        <v>70</v>
      </c>
      <c r="H28" s="7">
        <v>0</v>
      </c>
      <c r="I28" s="7">
        <v>0</v>
      </c>
      <c r="J28" s="9">
        <f t="shared" si="0"/>
        <v>0</v>
      </c>
      <c r="K28" s="9">
        <f t="shared" si="1"/>
        <v>0</v>
      </c>
      <c r="L28" s="9">
        <f t="shared" si="9"/>
        <v>0</v>
      </c>
      <c r="M28" s="9">
        <f t="shared" si="10"/>
        <v>0</v>
      </c>
      <c r="N28" s="9">
        <f t="shared" si="2"/>
        <v>0</v>
      </c>
      <c r="O28" s="9">
        <f t="shared" si="3"/>
        <v>0</v>
      </c>
      <c r="P28" s="9">
        <f t="shared" si="4"/>
        <v>0</v>
      </c>
      <c r="Q28" s="14">
        <f t="shared" si="11"/>
        <v>0</v>
      </c>
      <c r="R28" s="14">
        <f t="shared" si="5"/>
        <v>0</v>
      </c>
      <c r="S28" s="14">
        <f t="shared" si="6"/>
        <v>0</v>
      </c>
      <c r="T28" s="14">
        <f t="shared" si="7"/>
        <v>0</v>
      </c>
      <c r="U28" s="14">
        <f t="shared" si="12"/>
        <v>0</v>
      </c>
      <c r="V28" s="14">
        <f t="shared" si="13"/>
        <v>0</v>
      </c>
      <c r="W28" s="14">
        <f t="shared" si="14"/>
        <v>0</v>
      </c>
      <c r="X28" s="14">
        <f t="shared" si="8"/>
        <v>0</v>
      </c>
      <c r="Y28" s="11"/>
      <c r="Z28" s="11"/>
      <c r="AA28" s="11"/>
      <c r="AB28" s="11"/>
      <c r="AC28" s="11"/>
      <c r="AD28" s="11"/>
      <c r="AE28" s="11"/>
      <c r="AF28" s="11"/>
    </row>
    <row r="29" spans="1:32" ht="15.75" x14ac:dyDescent="0.25">
      <c r="A29" s="21" t="s">
        <v>38</v>
      </c>
      <c r="B29" s="6">
        <v>28</v>
      </c>
      <c r="C29" s="6">
        <v>0</v>
      </c>
      <c r="D29" s="6">
        <v>0</v>
      </c>
      <c r="E29" s="6">
        <v>0</v>
      </c>
      <c r="F29" s="6">
        <v>1</v>
      </c>
      <c r="G29" s="3">
        <v>102</v>
      </c>
      <c r="H29" s="7">
        <v>0</v>
      </c>
      <c r="I29" s="7">
        <v>1</v>
      </c>
      <c r="J29" s="9">
        <f t="shared" si="0"/>
        <v>1</v>
      </c>
      <c r="K29" s="9">
        <f t="shared" si="1"/>
        <v>0</v>
      </c>
      <c r="L29" s="9">
        <f t="shared" si="9"/>
        <v>1</v>
      </c>
      <c r="M29" s="9">
        <f t="shared" si="10"/>
        <v>0</v>
      </c>
      <c r="N29" s="9">
        <f t="shared" si="2"/>
        <v>0</v>
      </c>
      <c r="O29" s="9">
        <f t="shared" si="3"/>
        <v>0</v>
      </c>
      <c r="P29" s="9">
        <f t="shared" si="4"/>
        <v>0</v>
      </c>
      <c r="Q29" s="14">
        <f t="shared" si="11"/>
        <v>0</v>
      </c>
      <c r="R29" s="14">
        <f t="shared" si="5"/>
        <v>0</v>
      </c>
      <c r="S29" s="14">
        <f t="shared" si="6"/>
        <v>0</v>
      </c>
      <c r="T29" s="14">
        <f t="shared" si="7"/>
        <v>0</v>
      </c>
      <c r="U29" s="14">
        <f t="shared" si="12"/>
        <v>0</v>
      </c>
      <c r="V29" s="14">
        <f t="shared" si="13"/>
        <v>0</v>
      </c>
      <c r="W29" s="14">
        <f t="shared" si="14"/>
        <v>0</v>
      </c>
      <c r="X29" s="14">
        <f t="shared" si="8"/>
        <v>102</v>
      </c>
      <c r="Y29" s="11"/>
      <c r="Z29" s="11"/>
      <c r="AA29" s="11"/>
      <c r="AB29" s="11"/>
      <c r="AC29" s="11"/>
      <c r="AD29" s="11"/>
      <c r="AE29" s="11"/>
      <c r="AF29" s="11"/>
    </row>
    <row r="30" spans="1:32" ht="15.75" x14ac:dyDescent="0.25">
      <c r="A30" s="21" t="s">
        <v>6</v>
      </c>
      <c r="B30" s="6">
        <v>29</v>
      </c>
      <c r="C30" s="6">
        <v>0</v>
      </c>
      <c r="D30" s="6">
        <v>0</v>
      </c>
      <c r="E30" s="6">
        <v>0</v>
      </c>
      <c r="F30" s="6">
        <v>1</v>
      </c>
      <c r="G30" s="3">
        <v>98</v>
      </c>
      <c r="H30" s="7">
        <v>0</v>
      </c>
      <c r="I30" s="7">
        <v>1</v>
      </c>
      <c r="J30" s="9">
        <f t="shared" si="0"/>
        <v>1</v>
      </c>
      <c r="K30" s="9">
        <f t="shared" si="1"/>
        <v>0</v>
      </c>
      <c r="L30" s="9">
        <f t="shared" si="9"/>
        <v>1</v>
      </c>
      <c r="M30" s="9">
        <f t="shared" si="10"/>
        <v>0</v>
      </c>
      <c r="N30" s="9">
        <f t="shared" si="2"/>
        <v>0</v>
      </c>
      <c r="O30" s="9">
        <f t="shared" si="3"/>
        <v>0</v>
      </c>
      <c r="P30" s="9">
        <f t="shared" si="4"/>
        <v>0</v>
      </c>
      <c r="Q30" s="14">
        <f t="shared" si="11"/>
        <v>0</v>
      </c>
      <c r="R30" s="14">
        <f t="shared" si="5"/>
        <v>0</v>
      </c>
      <c r="S30" s="14">
        <f t="shared" si="6"/>
        <v>0</v>
      </c>
      <c r="T30" s="14">
        <f t="shared" si="7"/>
        <v>0</v>
      </c>
      <c r="U30" s="14">
        <f t="shared" si="12"/>
        <v>0</v>
      </c>
      <c r="V30" s="14">
        <f t="shared" si="13"/>
        <v>0</v>
      </c>
      <c r="W30" s="14">
        <f t="shared" si="14"/>
        <v>0</v>
      </c>
      <c r="X30" s="14">
        <f t="shared" si="8"/>
        <v>98</v>
      </c>
      <c r="Y30" s="11"/>
      <c r="Z30" s="11"/>
      <c r="AA30" s="11"/>
      <c r="AB30" s="11"/>
      <c r="AC30" s="11"/>
      <c r="AD30" s="11"/>
      <c r="AE30" s="11"/>
      <c r="AF30" s="11"/>
    </row>
    <row r="31" spans="1:32" ht="15.75" x14ac:dyDescent="0.25">
      <c r="A31" s="21" t="s">
        <v>22</v>
      </c>
      <c r="B31" s="6">
        <v>30</v>
      </c>
      <c r="C31" s="6">
        <v>0</v>
      </c>
      <c r="D31" s="6">
        <v>0</v>
      </c>
      <c r="E31" s="6">
        <v>0</v>
      </c>
      <c r="F31" s="6">
        <v>1</v>
      </c>
      <c r="G31" s="3">
        <v>75</v>
      </c>
      <c r="H31" s="7">
        <v>0</v>
      </c>
      <c r="I31" s="7">
        <v>0</v>
      </c>
      <c r="J31" s="9">
        <f t="shared" si="0"/>
        <v>0</v>
      </c>
      <c r="K31" s="9">
        <f t="shared" si="1"/>
        <v>0</v>
      </c>
      <c r="L31" s="9">
        <f t="shared" si="9"/>
        <v>0</v>
      </c>
      <c r="M31" s="9">
        <f t="shared" si="10"/>
        <v>0</v>
      </c>
      <c r="N31" s="9">
        <f t="shared" si="2"/>
        <v>0</v>
      </c>
      <c r="O31" s="9">
        <f t="shared" si="3"/>
        <v>0</v>
      </c>
      <c r="P31" s="9">
        <f t="shared" si="4"/>
        <v>0</v>
      </c>
      <c r="Q31" s="14">
        <f t="shared" si="11"/>
        <v>0</v>
      </c>
      <c r="R31" s="14">
        <f t="shared" si="5"/>
        <v>0</v>
      </c>
      <c r="S31" s="14">
        <f t="shared" si="6"/>
        <v>0</v>
      </c>
      <c r="T31" s="14">
        <f t="shared" si="7"/>
        <v>0</v>
      </c>
      <c r="U31" s="14">
        <f t="shared" si="12"/>
        <v>0</v>
      </c>
      <c r="V31" s="14">
        <f t="shared" si="13"/>
        <v>0</v>
      </c>
      <c r="W31" s="14">
        <f t="shared" si="14"/>
        <v>0</v>
      </c>
      <c r="X31" s="14">
        <f t="shared" si="8"/>
        <v>0</v>
      </c>
      <c r="Y31" s="11"/>
      <c r="Z31" s="11"/>
      <c r="AA31" s="11"/>
      <c r="AB31" s="11"/>
      <c r="AC31" s="11"/>
      <c r="AD31" s="11"/>
      <c r="AE31" s="11"/>
      <c r="AF31" s="11"/>
    </row>
    <row r="32" spans="1:32" ht="15.75" x14ac:dyDescent="0.25">
      <c r="A32" s="2"/>
      <c r="B32" s="2"/>
      <c r="C32" s="2"/>
      <c r="D32" s="2"/>
      <c r="E32" s="2"/>
      <c r="F32" s="1"/>
    </row>
    <row r="33" spans="1:26" ht="15.75" x14ac:dyDescent="0.25">
      <c r="A33" s="2" t="s">
        <v>45</v>
      </c>
      <c r="B33" s="2"/>
      <c r="C33" s="2"/>
      <c r="D33" s="2"/>
      <c r="E33" s="2"/>
      <c r="F33" s="1"/>
      <c r="H33">
        <f>SUM(H2:H31)</f>
        <v>0</v>
      </c>
      <c r="I33">
        <f>SUM(I2:I31)</f>
        <v>16</v>
      </c>
      <c r="K33">
        <f>SUM(K2:K31)</f>
        <v>8</v>
      </c>
      <c r="L33">
        <f>SUM(L2:L31)</f>
        <v>8</v>
      </c>
      <c r="N33" s="6"/>
      <c r="O33" t="s">
        <v>74</v>
      </c>
      <c r="U33" s="17"/>
      <c r="V33" t="s">
        <v>60</v>
      </c>
      <c r="Z33" s="11"/>
    </row>
    <row r="34" spans="1:26" ht="15.75" x14ac:dyDescent="0.25">
      <c r="A34" s="2"/>
      <c r="B34" s="2"/>
      <c r="C34" s="2"/>
      <c r="D34" s="2"/>
      <c r="E34" s="2"/>
      <c r="F34" s="1"/>
      <c r="N34" s="9"/>
      <c r="O34" t="s">
        <v>75</v>
      </c>
      <c r="U34" s="15"/>
      <c r="V34" t="s">
        <v>59</v>
      </c>
      <c r="Z34" s="11"/>
    </row>
    <row r="35" spans="1:26" ht="15.75" x14ac:dyDescent="0.25">
      <c r="A35" s="2" t="s">
        <v>36</v>
      </c>
      <c r="B35" s="2"/>
      <c r="C35" s="2"/>
      <c r="D35" s="2"/>
      <c r="E35" s="2"/>
      <c r="F35" s="1"/>
      <c r="N35" s="7"/>
      <c r="O35" t="s">
        <v>76</v>
      </c>
      <c r="U35" s="12"/>
      <c r="V35" t="s">
        <v>61</v>
      </c>
    </row>
    <row r="36" spans="1:26" ht="15.75" x14ac:dyDescent="0.25">
      <c r="A36" s="1" t="s">
        <v>35</v>
      </c>
      <c r="B36">
        <f>SUMPRODUCT(G2:G31,H2:H31)</f>
        <v>0</v>
      </c>
      <c r="N36" s="3"/>
      <c r="O36" t="s">
        <v>77</v>
      </c>
      <c r="U36" s="14"/>
      <c r="V36" t="s">
        <v>62</v>
      </c>
    </row>
    <row r="37" spans="1:26" ht="15.75" x14ac:dyDescent="0.25">
      <c r="A37" s="1" t="s">
        <v>34</v>
      </c>
      <c r="B37">
        <f>SUMPRODUCT(G2:G31,I2:I31)</f>
        <v>1619</v>
      </c>
    </row>
    <row r="38" spans="1:26" x14ac:dyDescent="0.25">
      <c r="D38" t="s">
        <v>83</v>
      </c>
    </row>
    <row r="39" spans="1:26" ht="15.75" x14ac:dyDescent="0.25">
      <c r="A39" s="1" t="s">
        <v>33</v>
      </c>
      <c r="B39">
        <f>2*B36+B37</f>
        <v>1619</v>
      </c>
      <c r="D39">
        <f>B36+B37</f>
        <v>1619</v>
      </c>
      <c r="H39" t="s">
        <v>82</v>
      </c>
    </row>
    <row r="41" spans="1:26" ht="15.75" x14ac:dyDescent="0.25">
      <c r="A41" s="1" t="s">
        <v>47</v>
      </c>
    </row>
    <row r="42" spans="1:26" x14ac:dyDescent="0.25">
      <c r="B42">
        <f>SUM(H2:H31) +SUM(I2:I31)</f>
        <v>16</v>
      </c>
      <c r="C42" t="s">
        <v>48</v>
      </c>
      <c r="D42">
        <v>16</v>
      </c>
    </row>
    <row r="43" spans="1:26" x14ac:dyDescent="0.25">
      <c r="C43" t="s">
        <v>49</v>
      </c>
      <c r="D43">
        <v>1</v>
      </c>
    </row>
    <row r="44" spans="1:26" x14ac:dyDescent="0.25">
      <c r="B44">
        <f>SUM(K2:K31)</f>
        <v>8</v>
      </c>
      <c r="C44" t="s">
        <v>49</v>
      </c>
      <c r="D44">
        <v>8</v>
      </c>
    </row>
    <row r="45" spans="1:26" x14ac:dyDescent="0.25">
      <c r="B45">
        <f>SUM(L2:L31)</f>
        <v>8</v>
      </c>
      <c r="C45" t="s">
        <v>49</v>
      </c>
      <c r="D45">
        <v>8</v>
      </c>
    </row>
    <row r="47" spans="1:26" x14ac:dyDescent="0.25">
      <c r="A47" t="s">
        <v>54</v>
      </c>
      <c r="B47">
        <f>SUM(M2:M31)</f>
        <v>0</v>
      </c>
      <c r="C47" t="s">
        <v>48</v>
      </c>
      <c r="D47">
        <f>SUM(N2:N31)</f>
        <v>0</v>
      </c>
    </row>
    <row r="48" spans="1:26" x14ac:dyDescent="0.25">
      <c r="A48" t="s">
        <v>55</v>
      </c>
      <c r="B48">
        <f>SUM(O2:O31)</f>
        <v>0</v>
      </c>
      <c r="C48" t="s">
        <v>48</v>
      </c>
      <c r="D48">
        <f>SUM(P2:P31)</f>
        <v>0</v>
      </c>
    </row>
    <row r="50" spans="1:5" x14ac:dyDescent="0.25">
      <c r="A50" t="s">
        <v>57</v>
      </c>
      <c r="B50">
        <f>B47</f>
        <v>0</v>
      </c>
      <c r="C50" t="s">
        <v>56</v>
      </c>
      <c r="D50">
        <f>B48</f>
        <v>0</v>
      </c>
    </row>
    <row r="51" spans="1:5" x14ac:dyDescent="0.25">
      <c r="B51" t="s">
        <v>58</v>
      </c>
    </row>
    <row r="53" spans="1:5" x14ac:dyDescent="0.25">
      <c r="A53" t="s">
        <v>80</v>
      </c>
      <c r="B53">
        <f>SUMPRODUCT($H$2:$H$31,$C$2:$C$31)</f>
        <v>0</v>
      </c>
      <c r="C53" t="s">
        <v>49</v>
      </c>
      <c r="D53">
        <v>0</v>
      </c>
      <c r="E53" t="s">
        <v>81</v>
      </c>
    </row>
    <row r="54" spans="1:5" x14ac:dyDescent="0.25">
      <c r="B54">
        <f>SUMPRODUCT($H$2:$H$31,$D$2:$D$31)</f>
        <v>0</v>
      </c>
      <c r="C54" t="s">
        <v>49</v>
      </c>
      <c r="D54">
        <v>0</v>
      </c>
    </row>
    <row r="55" spans="1:5" x14ac:dyDescent="0.25">
      <c r="B55">
        <f>SUMPRODUCT($H$2:$H$31,$E$2:$E$31)</f>
        <v>0</v>
      </c>
      <c r="C55" t="s">
        <v>49</v>
      </c>
      <c r="D55">
        <v>0</v>
      </c>
    </row>
    <row r="56" spans="1:5" x14ac:dyDescent="0.25">
      <c r="B56">
        <f>SUMPRODUCT($H$2:$H$31,$F$2:$F$31)</f>
        <v>0</v>
      </c>
      <c r="C56" t="s">
        <v>49</v>
      </c>
      <c r="D56">
        <v>0</v>
      </c>
    </row>
  </sheetData>
  <autoFilter ref="A1:X31">
    <sortState ref="A2:X31">
      <sortCondition ref="B1:B31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8"/>
  <sheetViews>
    <sheetView workbookViewId="0">
      <selection activeCell="G13" sqref="G13"/>
    </sheetView>
  </sheetViews>
  <sheetFormatPr defaultRowHeight="15" x14ac:dyDescent="0.25"/>
  <cols>
    <col min="2" max="2" width="16.140625" bestFit="1" customWidth="1"/>
    <col min="3" max="3" width="17" bestFit="1" customWidth="1"/>
    <col min="4" max="4" width="11.42578125" bestFit="1" customWidth="1"/>
    <col min="5" max="5" width="12.28515625" bestFit="1" customWidth="1"/>
  </cols>
  <sheetData>
    <row r="1" spans="1:5" x14ac:dyDescent="0.25">
      <c r="A1" t="s">
        <v>63</v>
      </c>
      <c r="B1" t="s">
        <v>64</v>
      </c>
      <c r="C1" t="s">
        <v>65</v>
      </c>
      <c r="D1" t="s">
        <v>78</v>
      </c>
      <c r="E1" t="s">
        <v>79</v>
      </c>
    </row>
    <row r="2" spans="1:5" x14ac:dyDescent="0.25">
      <c r="A2" s="10">
        <v>2006</v>
      </c>
      <c r="B2">
        <v>4</v>
      </c>
      <c r="C2">
        <v>3</v>
      </c>
      <c r="D2">
        <f>8-2*B2</f>
        <v>0</v>
      </c>
      <c r="E2">
        <f>8-2*C2</f>
        <v>2</v>
      </c>
    </row>
    <row r="3" spans="1:5" x14ac:dyDescent="0.25">
      <c r="A3" s="10">
        <f>A2+1</f>
        <v>2007</v>
      </c>
      <c r="B3">
        <v>4</v>
      </c>
      <c r="C3">
        <v>3</v>
      </c>
      <c r="D3">
        <f t="shared" ref="D3:D11" si="0">8-2*B3</f>
        <v>0</v>
      </c>
      <c r="E3">
        <f t="shared" ref="E3:E11" si="1">8-2*C3</f>
        <v>2</v>
      </c>
    </row>
    <row r="4" spans="1:5" x14ac:dyDescent="0.25">
      <c r="A4" s="10">
        <f t="shared" ref="A4:A11" si="2">A3+1</f>
        <v>2008</v>
      </c>
      <c r="B4">
        <v>4</v>
      </c>
      <c r="C4">
        <v>4</v>
      </c>
      <c r="D4">
        <f t="shared" si="0"/>
        <v>0</v>
      </c>
      <c r="E4">
        <f t="shared" si="1"/>
        <v>0</v>
      </c>
    </row>
    <row r="5" spans="1:5" x14ac:dyDescent="0.25">
      <c r="A5" s="10">
        <f t="shared" si="2"/>
        <v>2009</v>
      </c>
      <c r="B5">
        <v>2</v>
      </c>
      <c r="C5">
        <v>2</v>
      </c>
      <c r="D5">
        <f t="shared" si="0"/>
        <v>4</v>
      </c>
      <c r="E5">
        <f t="shared" si="1"/>
        <v>4</v>
      </c>
    </row>
    <row r="6" spans="1:5" x14ac:dyDescent="0.25">
      <c r="A6" s="10">
        <f t="shared" si="2"/>
        <v>2010</v>
      </c>
      <c r="B6">
        <v>3</v>
      </c>
      <c r="C6">
        <v>3</v>
      </c>
      <c r="D6">
        <f t="shared" si="0"/>
        <v>2</v>
      </c>
      <c r="E6">
        <f t="shared" si="1"/>
        <v>2</v>
      </c>
    </row>
    <row r="7" spans="1:5" x14ac:dyDescent="0.25">
      <c r="A7" s="10">
        <f t="shared" si="2"/>
        <v>2011</v>
      </c>
      <c r="B7">
        <v>3</v>
      </c>
      <c r="C7">
        <v>3</v>
      </c>
      <c r="D7">
        <f t="shared" si="0"/>
        <v>2</v>
      </c>
      <c r="E7">
        <f t="shared" si="1"/>
        <v>2</v>
      </c>
    </row>
    <row r="8" spans="1:5" x14ac:dyDescent="0.25">
      <c r="A8" s="10">
        <f t="shared" si="2"/>
        <v>2012</v>
      </c>
      <c r="B8">
        <v>4</v>
      </c>
      <c r="C8">
        <v>3</v>
      </c>
      <c r="D8">
        <f t="shared" si="0"/>
        <v>0</v>
      </c>
      <c r="E8">
        <f t="shared" si="1"/>
        <v>2</v>
      </c>
    </row>
    <row r="9" spans="1:5" x14ac:dyDescent="0.25">
      <c r="A9" s="10">
        <v>2014</v>
      </c>
      <c r="B9">
        <v>3</v>
      </c>
      <c r="C9">
        <v>2</v>
      </c>
      <c r="D9">
        <f t="shared" si="0"/>
        <v>2</v>
      </c>
      <c r="E9">
        <f t="shared" si="1"/>
        <v>4</v>
      </c>
    </row>
    <row r="10" spans="1:5" x14ac:dyDescent="0.25">
      <c r="A10" s="10">
        <f t="shared" si="2"/>
        <v>2015</v>
      </c>
      <c r="B10">
        <v>4</v>
      </c>
      <c r="C10">
        <v>3</v>
      </c>
      <c r="D10">
        <f t="shared" si="0"/>
        <v>0</v>
      </c>
      <c r="E10">
        <f t="shared" si="1"/>
        <v>2</v>
      </c>
    </row>
    <row r="11" spans="1:5" x14ac:dyDescent="0.25">
      <c r="A11" s="10">
        <f t="shared" si="2"/>
        <v>2016</v>
      </c>
      <c r="B11">
        <v>3</v>
      </c>
      <c r="C11">
        <v>3</v>
      </c>
      <c r="D11">
        <f t="shared" si="0"/>
        <v>2</v>
      </c>
      <c r="E11">
        <f t="shared" si="1"/>
        <v>2</v>
      </c>
    </row>
    <row r="12" spans="1:5" x14ac:dyDescent="0.25">
      <c r="A12" s="10"/>
    </row>
    <row r="13" spans="1:5" x14ac:dyDescent="0.25">
      <c r="A13" s="10"/>
    </row>
    <row r="14" spans="1:5" x14ac:dyDescent="0.25">
      <c r="A14" s="10"/>
    </row>
    <row r="15" spans="1:5" x14ac:dyDescent="0.25">
      <c r="A15" s="10"/>
    </row>
    <row r="16" spans="1:5" x14ac:dyDescent="0.25">
      <c r="A16" s="10"/>
    </row>
    <row r="17" spans="1:1" x14ac:dyDescent="0.25">
      <c r="A17" s="10"/>
    </row>
    <row r="18" spans="1:1" x14ac:dyDescent="0.25">
      <c r="A18" s="10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56"/>
  <sheetViews>
    <sheetView topLeftCell="A21" workbookViewId="0">
      <selection activeCell="G2" sqref="G2:G31"/>
    </sheetView>
  </sheetViews>
  <sheetFormatPr defaultRowHeight="15" x14ac:dyDescent="0.25"/>
  <cols>
    <col min="1" max="1" width="21" bestFit="1" customWidth="1"/>
    <col min="25" max="25" width="7.28515625" customWidth="1"/>
    <col min="26" max="26" width="6.7109375" customWidth="1"/>
    <col min="27" max="27" width="6.5703125" customWidth="1"/>
  </cols>
  <sheetData>
    <row r="1" spans="1:32" ht="47.25" x14ac:dyDescent="0.25">
      <c r="A1" s="4" t="s">
        <v>25</v>
      </c>
      <c r="B1" s="4" t="s">
        <v>37</v>
      </c>
      <c r="C1" s="4" t="s">
        <v>28</v>
      </c>
      <c r="D1" s="4" t="s">
        <v>29</v>
      </c>
      <c r="E1" s="4" t="s">
        <v>30</v>
      </c>
      <c r="F1" s="4" t="s">
        <v>31</v>
      </c>
      <c r="G1" s="5" t="s">
        <v>32</v>
      </c>
      <c r="H1" s="5" t="s">
        <v>26</v>
      </c>
      <c r="I1" s="5" t="s">
        <v>27</v>
      </c>
      <c r="J1" s="13" t="s">
        <v>46</v>
      </c>
      <c r="K1" s="13" t="s">
        <v>43</v>
      </c>
      <c r="L1" s="13" t="s">
        <v>44</v>
      </c>
      <c r="M1" s="8" t="s">
        <v>51</v>
      </c>
      <c r="N1" s="8" t="s">
        <v>50</v>
      </c>
      <c r="O1" s="8" t="s">
        <v>52</v>
      </c>
      <c r="P1" s="8" t="s">
        <v>53</v>
      </c>
      <c r="Q1" s="8" t="s">
        <v>66</v>
      </c>
      <c r="R1" s="8" t="s">
        <v>67</v>
      </c>
      <c r="S1" s="8" t="s">
        <v>68</v>
      </c>
      <c r="T1" s="8" t="s">
        <v>69</v>
      </c>
      <c r="U1" s="8" t="s">
        <v>70</v>
      </c>
      <c r="V1" s="8" t="s">
        <v>71</v>
      </c>
      <c r="W1" s="8" t="s">
        <v>72</v>
      </c>
      <c r="X1" s="8" t="s">
        <v>73</v>
      </c>
      <c r="Y1" s="8"/>
      <c r="Z1" s="8"/>
      <c r="AA1" s="8"/>
      <c r="AB1" s="8"/>
    </row>
    <row r="2" spans="1:32" ht="15.75" x14ac:dyDescent="0.25">
      <c r="A2" s="18" t="s">
        <v>16</v>
      </c>
      <c r="B2" s="6">
        <v>1</v>
      </c>
      <c r="C2" s="6">
        <v>1</v>
      </c>
      <c r="D2" s="6">
        <v>0</v>
      </c>
      <c r="E2" s="6">
        <v>0</v>
      </c>
      <c r="F2" s="6">
        <v>0</v>
      </c>
      <c r="G2" s="3">
        <v>88</v>
      </c>
      <c r="H2" s="7">
        <v>0</v>
      </c>
      <c r="I2" s="7">
        <v>0</v>
      </c>
      <c r="J2" s="9">
        <f t="shared" ref="J2:J31" si="0">H2+I2</f>
        <v>0</v>
      </c>
      <c r="K2" s="9">
        <f t="shared" ref="K2:K31" si="1">(C2+D2)*(H2+I2)</f>
        <v>0</v>
      </c>
      <c r="L2" s="9">
        <f>(E2+F2)*(H2+I2)</f>
        <v>0</v>
      </c>
      <c r="M2" s="9">
        <f>C2*H2</f>
        <v>0</v>
      </c>
      <c r="N2" s="9">
        <f t="shared" ref="N2:N31" si="2">D2*H2</f>
        <v>0</v>
      </c>
      <c r="O2" s="9">
        <f t="shared" ref="O2:O31" si="3">E2*H2</f>
        <v>0</v>
      </c>
      <c r="P2" s="9">
        <f t="shared" ref="P2:P31" si="4">F2*H2</f>
        <v>0</v>
      </c>
      <c r="Q2" s="17">
        <f>H2*G2*C2</f>
        <v>0</v>
      </c>
      <c r="R2" s="17">
        <f t="shared" ref="R2:R31" si="5">I2*G2*C2</f>
        <v>0</v>
      </c>
      <c r="S2" s="17">
        <f t="shared" ref="S2:S31" si="6">H2*G2*D2</f>
        <v>0</v>
      </c>
      <c r="T2" s="17">
        <f t="shared" ref="T2:T31" si="7">I2*G2*D2</f>
        <v>0</v>
      </c>
      <c r="U2" s="17">
        <f>H2*G2*E2</f>
        <v>0</v>
      </c>
      <c r="V2" s="17">
        <f>I2*G2*E2</f>
        <v>0</v>
      </c>
      <c r="W2" s="17">
        <f>H2*G2*F2</f>
        <v>0</v>
      </c>
      <c r="X2" s="17">
        <f t="shared" ref="X2:X31" si="8">I2*G2*F2</f>
        <v>0</v>
      </c>
      <c r="Y2" s="11"/>
      <c r="Z2" s="11"/>
      <c r="AA2" s="11"/>
      <c r="AB2" s="11"/>
      <c r="AC2" s="11"/>
      <c r="AD2" s="11"/>
      <c r="AE2" s="11"/>
      <c r="AF2" s="11"/>
    </row>
    <row r="3" spans="1:32" ht="14.25" customHeight="1" x14ac:dyDescent="0.25">
      <c r="A3" s="18" t="s">
        <v>21</v>
      </c>
      <c r="B3" s="6">
        <v>2</v>
      </c>
      <c r="C3" s="6">
        <v>1</v>
      </c>
      <c r="D3" s="6">
        <v>0</v>
      </c>
      <c r="E3" s="6">
        <v>0</v>
      </c>
      <c r="F3" s="6">
        <v>0</v>
      </c>
      <c r="G3" s="3">
        <v>73</v>
      </c>
      <c r="H3" s="7">
        <v>0</v>
      </c>
      <c r="I3" s="7">
        <v>0</v>
      </c>
      <c r="J3" s="9">
        <f t="shared" si="0"/>
        <v>0</v>
      </c>
      <c r="K3" s="9">
        <f t="shared" si="1"/>
        <v>0</v>
      </c>
      <c r="L3" s="9">
        <f t="shared" ref="L3:L31" si="9">(E3+F3)*(H3+I3)</f>
        <v>0</v>
      </c>
      <c r="M3" s="9">
        <f t="shared" ref="M3:M31" si="10">C3*H3</f>
        <v>0</v>
      </c>
      <c r="N3" s="9">
        <f t="shared" si="2"/>
        <v>0</v>
      </c>
      <c r="O3" s="9">
        <f t="shared" si="3"/>
        <v>0</v>
      </c>
      <c r="P3" s="9">
        <f t="shared" si="4"/>
        <v>0</v>
      </c>
      <c r="Q3" s="17">
        <f t="shared" ref="Q3:Q31" si="11">H3*G3*C3</f>
        <v>0</v>
      </c>
      <c r="R3" s="17">
        <f t="shared" si="5"/>
        <v>0</v>
      </c>
      <c r="S3" s="17">
        <f t="shared" si="6"/>
        <v>0</v>
      </c>
      <c r="T3" s="17">
        <f t="shared" si="7"/>
        <v>0</v>
      </c>
      <c r="U3" s="17">
        <f t="shared" ref="U3:U31" si="12">H3*G3*E3</f>
        <v>0</v>
      </c>
      <c r="V3" s="17">
        <f t="shared" ref="V3:V31" si="13">I3*G3*E3</f>
        <v>0</v>
      </c>
      <c r="W3" s="17">
        <f t="shared" ref="W3:W31" si="14">H3*G3*F3</f>
        <v>0</v>
      </c>
      <c r="X3" s="17">
        <f t="shared" si="8"/>
        <v>0</v>
      </c>
      <c r="Y3" s="11"/>
      <c r="Z3" s="11"/>
      <c r="AA3" s="11"/>
      <c r="AB3" s="11"/>
      <c r="AC3" s="11"/>
      <c r="AD3" s="11"/>
      <c r="AE3" s="11"/>
      <c r="AF3" s="11"/>
    </row>
    <row r="4" spans="1:32" ht="15.75" x14ac:dyDescent="0.25">
      <c r="A4" s="18" t="s">
        <v>39</v>
      </c>
      <c r="B4" s="6">
        <v>3</v>
      </c>
      <c r="C4" s="6">
        <v>1</v>
      </c>
      <c r="D4" s="6">
        <v>0</v>
      </c>
      <c r="E4" s="6">
        <v>0</v>
      </c>
      <c r="F4" s="6">
        <v>0</v>
      </c>
      <c r="G4" s="3">
        <v>107</v>
      </c>
      <c r="H4" s="7">
        <v>1</v>
      </c>
      <c r="I4" s="7">
        <v>0</v>
      </c>
      <c r="J4" s="9">
        <f t="shared" si="0"/>
        <v>1</v>
      </c>
      <c r="K4" s="9">
        <f t="shared" si="1"/>
        <v>1</v>
      </c>
      <c r="L4" s="9">
        <f t="shared" si="9"/>
        <v>0</v>
      </c>
      <c r="M4" s="9">
        <f t="shared" si="10"/>
        <v>1</v>
      </c>
      <c r="N4" s="9">
        <f t="shared" si="2"/>
        <v>0</v>
      </c>
      <c r="O4" s="9">
        <f t="shared" si="3"/>
        <v>0</v>
      </c>
      <c r="P4" s="9">
        <f t="shared" si="4"/>
        <v>0</v>
      </c>
      <c r="Q4" s="17">
        <f t="shared" si="11"/>
        <v>107</v>
      </c>
      <c r="R4" s="17">
        <f t="shared" si="5"/>
        <v>0</v>
      </c>
      <c r="S4" s="17">
        <f t="shared" si="6"/>
        <v>0</v>
      </c>
      <c r="T4" s="17">
        <f t="shared" si="7"/>
        <v>0</v>
      </c>
      <c r="U4" s="17">
        <f t="shared" si="12"/>
        <v>0</v>
      </c>
      <c r="V4" s="17">
        <f t="shared" si="13"/>
        <v>0</v>
      </c>
      <c r="W4" s="17">
        <f t="shared" si="14"/>
        <v>0</v>
      </c>
      <c r="X4" s="17">
        <f t="shared" si="8"/>
        <v>0</v>
      </c>
      <c r="Y4" s="11"/>
      <c r="Z4" s="11"/>
      <c r="AA4" s="11"/>
      <c r="AB4" s="11"/>
      <c r="AC4" s="11"/>
      <c r="AD4" s="11"/>
      <c r="AE4" s="11"/>
      <c r="AF4" s="11"/>
    </row>
    <row r="5" spans="1:32" ht="15.75" x14ac:dyDescent="0.25">
      <c r="A5" s="18" t="s">
        <v>40</v>
      </c>
      <c r="B5" s="6">
        <v>4</v>
      </c>
      <c r="C5" s="6">
        <v>1</v>
      </c>
      <c r="D5" s="6">
        <v>0</v>
      </c>
      <c r="E5" s="6">
        <v>0</v>
      </c>
      <c r="F5" s="6">
        <v>0</v>
      </c>
      <c r="G5" s="3">
        <v>92</v>
      </c>
      <c r="H5" s="7">
        <v>0</v>
      </c>
      <c r="I5" s="7">
        <v>1</v>
      </c>
      <c r="J5" s="9">
        <f t="shared" si="0"/>
        <v>1</v>
      </c>
      <c r="K5" s="9">
        <f t="shared" si="1"/>
        <v>1</v>
      </c>
      <c r="L5" s="9">
        <f t="shared" si="9"/>
        <v>0</v>
      </c>
      <c r="M5" s="9">
        <f t="shared" si="10"/>
        <v>0</v>
      </c>
      <c r="N5" s="9">
        <f t="shared" si="2"/>
        <v>0</v>
      </c>
      <c r="O5" s="9">
        <f t="shared" si="3"/>
        <v>0</v>
      </c>
      <c r="P5" s="9">
        <f t="shared" si="4"/>
        <v>0</v>
      </c>
      <c r="Q5" s="17">
        <f t="shared" si="11"/>
        <v>0</v>
      </c>
      <c r="R5" s="17">
        <f t="shared" si="5"/>
        <v>92</v>
      </c>
      <c r="S5" s="17">
        <f t="shared" si="6"/>
        <v>0</v>
      </c>
      <c r="T5" s="17">
        <f t="shared" si="7"/>
        <v>0</v>
      </c>
      <c r="U5" s="17">
        <f t="shared" si="12"/>
        <v>0</v>
      </c>
      <c r="V5" s="17">
        <f t="shared" si="13"/>
        <v>0</v>
      </c>
      <c r="W5" s="17">
        <f t="shared" si="14"/>
        <v>0</v>
      </c>
      <c r="X5" s="17">
        <f t="shared" si="8"/>
        <v>0</v>
      </c>
      <c r="Y5" s="11"/>
      <c r="Z5" s="11"/>
      <c r="AA5" s="11"/>
      <c r="AB5" s="11"/>
      <c r="AC5" s="11"/>
      <c r="AD5" s="11"/>
      <c r="AE5" s="11"/>
      <c r="AF5" s="11"/>
    </row>
    <row r="6" spans="1:32" ht="15.75" x14ac:dyDescent="0.25">
      <c r="A6" s="18" t="s">
        <v>41</v>
      </c>
      <c r="B6" s="6">
        <v>5</v>
      </c>
      <c r="C6" s="6">
        <v>1</v>
      </c>
      <c r="D6" s="6">
        <v>0</v>
      </c>
      <c r="E6" s="6">
        <v>0</v>
      </c>
      <c r="F6" s="6">
        <v>0</v>
      </c>
      <c r="G6" s="3">
        <v>94</v>
      </c>
      <c r="H6" s="7">
        <v>0</v>
      </c>
      <c r="I6" s="7">
        <v>1</v>
      </c>
      <c r="J6" s="9">
        <f t="shared" si="0"/>
        <v>1</v>
      </c>
      <c r="K6" s="9">
        <f t="shared" si="1"/>
        <v>1</v>
      </c>
      <c r="L6" s="9">
        <f t="shared" si="9"/>
        <v>0</v>
      </c>
      <c r="M6" s="9">
        <f t="shared" si="10"/>
        <v>0</v>
      </c>
      <c r="N6" s="9">
        <f t="shared" si="2"/>
        <v>0</v>
      </c>
      <c r="O6" s="9">
        <f t="shared" si="3"/>
        <v>0</v>
      </c>
      <c r="P6" s="9">
        <f t="shared" si="4"/>
        <v>0</v>
      </c>
      <c r="Q6" s="17">
        <f t="shared" si="11"/>
        <v>0</v>
      </c>
      <c r="R6" s="17">
        <f t="shared" si="5"/>
        <v>94</v>
      </c>
      <c r="S6" s="17">
        <f t="shared" si="6"/>
        <v>0</v>
      </c>
      <c r="T6" s="17">
        <f t="shared" si="7"/>
        <v>0</v>
      </c>
      <c r="U6" s="17">
        <f t="shared" si="12"/>
        <v>0</v>
      </c>
      <c r="V6" s="17">
        <f t="shared" si="13"/>
        <v>0</v>
      </c>
      <c r="W6" s="17">
        <f t="shared" si="14"/>
        <v>0</v>
      </c>
      <c r="X6" s="17">
        <f t="shared" si="8"/>
        <v>0</v>
      </c>
      <c r="Y6" s="11"/>
      <c r="Z6" s="11"/>
      <c r="AA6" s="11"/>
      <c r="AB6" s="11"/>
      <c r="AC6" s="11"/>
      <c r="AD6" s="11"/>
      <c r="AE6" s="11"/>
      <c r="AF6" s="11"/>
    </row>
    <row r="7" spans="1:32" ht="15.75" x14ac:dyDescent="0.25">
      <c r="A7" s="18" t="s">
        <v>9</v>
      </c>
      <c r="B7" s="6">
        <v>6</v>
      </c>
      <c r="C7" s="6">
        <v>1</v>
      </c>
      <c r="D7" s="6">
        <v>0</v>
      </c>
      <c r="E7" s="6">
        <v>0</v>
      </c>
      <c r="F7" s="6">
        <v>0</v>
      </c>
      <c r="G7" s="3">
        <v>56</v>
      </c>
      <c r="H7" s="7">
        <v>0</v>
      </c>
      <c r="I7" s="7">
        <v>0</v>
      </c>
      <c r="J7" s="9">
        <f t="shared" si="0"/>
        <v>0</v>
      </c>
      <c r="K7" s="9">
        <f t="shared" si="1"/>
        <v>0</v>
      </c>
      <c r="L7" s="9">
        <f t="shared" si="9"/>
        <v>0</v>
      </c>
      <c r="M7" s="9">
        <f t="shared" si="10"/>
        <v>0</v>
      </c>
      <c r="N7" s="9">
        <f t="shared" si="2"/>
        <v>0</v>
      </c>
      <c r="O7" s="9">
        <f t="shared" si="3"/>
        <v>0</v>
      </c>
      <c r="P7" s="9">
        <f t="shared" si="4"/>
        <v>0</v>
      </c>
      <c r="Q7" s="17">
        <f t="shared" si="11"/>
        <v>0</v>
      </c>
      <c r="R7" s="17">
        <f t="shared" si="5"/>
        <v>0</v>
      </c>
      <c r="S7" s="17">
        <f t="shared" si="6"/>
        <v>0</v>
      </c>
      <c r="T7" s="17">
        <f t="shared" si="7"/>
        <v>0</v>
      </c>
      <c r="U7" s="17">
        <f t="shared" si="12"/>
        <v>0</v>
      </c>
      <c r="V7" s="17">
        <f t="shared" si="13"/>
        <v>0</v>
      </c>
      <c r="W7" s="17">
        <f t="shared" si="14"/>
        <v>0</v>
      </c>
      <c r="X7" s="17">
        <f t="shared" si="8"/>
        <v>0</v>
      </c>
      <c r="Y7" s="11"/>
      <c r="Z7" s="11"/>
      <c r="AA7" s="11"/>
      <c r="AB7" s="11"/>
      <c r="AC7" s="11"/>
      <c r="AD7" s="11"/>
      <c r="AE7" s="11"/>
      <c r="AF7" s="11"/>
    </row>
    <row r="8" spans="1:32" ht="15.75" x14ac:dyDescent="0.25">
      <c r="A8" s="18" t="s">
        <v>42</v>
      </c>
      <c r="B8" s="6">
        <v>7</v>
      </c>
      <c r="C8" s="6">
        <v>1</v>
      </c>
      <c r="D8" s="6">
        <v>0</v>
      </c>
      <c r="E8" s="6">
        <v>0</v>
      </c>
      <c r="F8" s="6">
        <v>0</v>
      </c>
      <c r="G8" s="3">
        <v>105</v>
      </c>
      <c r="H8" s="7">
        <v>0</v>
      </c>
      <c r="I8" s="7">
        <v>1</v>
      </c>
      <c r="J8" s="9">
        <f t="shared" si="0"/>
        <v>1</v>
      </c>
      <c r="K8" s="9">
        <f t="shared" si="1"/>
        <v>1</v>
      </c>
      <c r="L8" s="9">
        <f t="shared" si="9"/>
        <v>0</v>
      </c>
      <c r="M8" s="9">
        <f t="shared" si="10"/>
        <v>0</v>
      </c>
      <c r="N8" s="9">
        <f t="shared" si="2"/>
        <v>0</v>
      </c>
      <c r="O8" s="9">
        <f t="shared" si="3"/>
        <v>0</v>
      </c>
      <c r="P8" s="9">
        <f t="shared" si="4"/>
        <v>0</v>
      </c>
      <c r="Q8" s="17">
        <f t="shared" si="11"/>
        <v>0</v>
      </c>
      <c r="R8" s="17">
        <f t="shared" si="5"/>
        <v>105</v>
      </c>
      <c r="S8" s="17">
        <f t="shared" si="6"/>
        <v>0</v>
      </c>
      <c r="T8" s="17">
        <f t="shared" si="7"/>
        <v>0</v>
      </c>
      <c r="U8" s="17">
        <f t="shared" si="12"/>
        <v>0</v>
      </c>
      <c r="V8" s="17">
        <f t="shared" si="13"/>
        <v>0</v>
      </c>
      <c r="W8" s="17">
        <f t="shared" si="14"/>
        <v>0</v>
      </c>
      <c r="X8" s="17">
        <f t="shared" si="8"/>
        <v>0</v>
      </c>
      <c r="Y8" s="11"/>
      <c r="Z8" s="11"/>
      <c r="AA8" s="11"/>
      <c r="AB8" s="11"/>
      <c r="AC8" s="11"/>
      <c r="AD8" s="11"/>
      <c r="AE8" s="11"/>
      <c r="AF8" s="11"/>
    </row>
    <row r="9" spans="1:32" ht="15.75" x14ac:dyDescent="0.25">
      <c r="A9" s="18" t="s">
        <v>0</v>
      </c>
      <c r="B9" s="6">
        <v>8</v>
      </c>
      <c r="C9" s="6">
        <v>1</v>
      </c>
      <c r="D9" s="6">
        <v>0</v>
      </c>
      <c r="E9" s="6">
        <v>0</v>
      </c>
      <c r="F9" s="6">
        <v>0</v>
      </c>
      <c r="G9" s="3">
        <v>70</v>
      </c>
      <c r="H9" s="7">
        <v>0</v>
      </c>
      <c r="I9" s="7">
        <v>0</v>
      </c>
      <c r="J9" s="9">
        <f t="shared" si="0"/>
        <v>0</v>
      </c>
      <c r="K9" s="9">
        <f t="shared" si="1"/>
        <v>0</v>
      </c>
      <c r="L9" s="9">
        <f t="shared" si="9"/>
        <v>0</v>
      </c>
      <c r="M9" s="9">
        <f t="shared" si="10"/>
        <v>0</v>
      </c>
      <c r="N9" s="9">
        <f t="shared" si="2"/>
        <v>0</v>
      </c>
      <c r="O9" s="9">
        <f t="shared" si="3"/>
        <v>0</v>
      </c>
      <c r="P9" s="9">
        <f t="shared" si="4"/>
        <v>0</v>
      </c>
      <c r="Q9" s="17">
        <f t="shared" si="11"/>
        <v>0</v>
      </c>
      <c r="R9" s="17">
        <f t="shared" si="5"/>
        <v>0</v>
      </c>
      <c r="S9" s="17">
        <f t="shared" si="6"/>
        <v>0</v>
      </c>
      <c r="T9" s="17">
        <f t="shared" si="7"/>
        <v>0</v>
      </c>
      <c r="U9" s="17">
        <f t="shared" si="12"/>
        <v>0</v>
      </c>
      <c r="V9" s="17">
        <f t="shared" si="13"/>
        <v>0</v>
      </c>
      <c r="W9" s="17">
        <f t="shared" si="14"/>
        <v>0</v>
      </c>
      <c r="X9" s="17">
        <f t="shared" si="8"/>
        <v>0</v>
      </c>
      <c r="Y9" s="11"/>
      <c r="Z9" s="11"/>
      <c r="AA9" s="11"/>
      <c r="AB9" s="11"/>
      <c r="AC9" s="11"/>
      <c r="AD9" s="11"/>
      <c r="AE9" s="11"/>
      <c r="AF9" s="11"/>
    </row>
    <row r="10" spans="1:32" ht="15" customHeight="1" x14ac:dyDescent="0.25">
      <c r="A10" s="19" t="s">
        <v>8</v>
      </c>
      <c r="B10" s="6">
        <v>9</v>
      </c>
      <c r="C10" s="6">
        <v>0</v>
      </c>
      <c r="D10" s="6">
        <v>1</v>
      </c>
      <c r="E10" s="6">
        <v>0</v>
      </c>
      <c r="F10" s="6">
        <v>0</v>
      </c>
      <c r="G10" s="3">
        <v>76</v>
      </c>
      <c r="H10" s="7">
        <v>0</v>
      </c>
      <c r="I10" s="7">
        <v>0</v>
      </c>
      <c r="J10" s="9">
        <f t="shared" si="0"/>
        <v>0</v>
      </c>
      <c r="K10" s="9">
        <f t="shared" si="1"/>
        <v>0</v>
      </c>
      <c r="L10" s="9">
        <f t="shared" si="9"/>
        <v>0</v>
      </c>
      <c r="M10" s="9">
        <f t="shared" si="10"/>
        <v>0</v>
      </c>
      <c r="N10" s="9">
        <f t="shared" si="2"/>
        <v>0</v>
      </c>
      <c r="O10" s="9">
        <f t="shared" si="3"/>
        <v>0</v>
      </c>
      <c r="P10" s="9">
        <f t="shared" si="4"/>
        <v>0</v>
      </c>
      <c r="Q10" s="15">
        <f t="shared" si="11"/>
        <v>0</v>
      </c>
      <c r="R10" s="15">
        <f t="shared" si="5"/>
        <v>0</v>
      </c>
      <c r="S10" s="15">
        <f t="shared" si="6"/>
        <v>0</v>
      </c>
      <c r="T10" s="15">
        <f t="shared" si="7"/>
        <v>0</v>
      </c>
      <c r="U10" s="15">
        <f t="shared" si="12"/>
        <v>0</v>
      </c>
      <c r="V10" s="15">
        <f t="shared" si="13"/>
        <v>0</v>
      </c>
      <c r="W10" s="15">
        <f t="shared" si="14"/>
        <v>0</v>
      </c>
      <c r="X10" s="15">
        <f t="shared" si="8"/>
        <v>0</v>
      </c>
      <c r="Y10" s="11"/>
      <c r="Z10" s="11"/>
      <c r="AA10" s="11"/>
      <c r="AB10" s="11"/>
      <c r="AC10" s="11"/>
      <c r="AD10" s="11"/>
      <c r="AE10" s="11"/>
      <c r="AF10" s="11"/>
    </row>
    <row r="11" spans="1:32" ht="15.75" x14ac:dyDescent="0.25">
      <c r="A11" s="19" t="s">
        <v>17</v>
      </c>
      <c r="B11" s="6">
        <v>10</v>
      </c>
      <c r="C11" s="6">
        <v>0</v>
      </c>
      <c r="D11" s="6">
        <v>1</v>
      </c>
      <c r="E11" s="6">
        <v>0</v>
      </c>
      <c r="F11" s="6">
        <v>0</v>
      </c>
      <c r="G11" s="3">
        <v>113</v>
      </c>
      <c r="H11" s="7">
        <v>1</v>
      </c>
      <c r="I11" s="7">
        <v>0</v>
      </c>
      <c r="J11" s="9">
        <f t="shared" si="0"/>
        <v>1</v>
      </c>
      <c r="K11" s="9">
        <f t="shared" si="1"/>
        <v>1</v>
      </c>
      <c r="L11" s="9">
        <f t="shared" si="9"/>
        <v>0</v>
      </c>
      <c r="M11" s="9">
        <f t="shared" si="10"/>
        <v>0</v>
      </c>
      <c r="N11" s="9">
        <f t="shared" si="2"/>
        <v>1</v>
      </c>
      <c r="O11" s="9">
        <f t="shared" si="3"/>
        <v>0</v>
      </c>
      <c r="P11" s="9">
        <f t="shared" si="4"/>
        <v>0</v>
      </c>
      <c r="Q11" s="15">
        <f t="shared" si="11"/>
        <v>0</v>
      </c>
      <c r="R11" s="15">
        <f t="shared" si="5"/>
        <v>0</v>
      </c>
      <c r="S11" s="15">
        <f t="shared" si="6"/>
        <v>113</v>
      </c>
      <c r="T11" s="15">
        <f t="shared" si="7"/>
        <v>0</v>
      </c>
      <c r="U11" s="15">
        <f t="shared" si="12"/>
        <v>0</v>
      </c>
      <c r="V11" s="15">
        <f t="shared" si="13"/>
        <v>0</v>
      </c>
      <c r="W11" s="15">
        <f t="shared" si="14"/>
        <v>0</v>
      </c>
      <c r="X11" s="15">
        <f t="shared" si="8"/>
        <v>0</v>
      </c>
      <c r="Y11" s="11"/>
      <c r="Z11" s="11"/>
      <c r="AA11" s="11"/>
      <c r="AB11" s="11"/>
      <c r="AC11" s="11"/>
      <c r="AD11" s="11"/>
      <c r="AE11" s="11"/>
      <c r="AF11" s="11"/>
    </row>
    <row r="12" spans="1:32" ht="15.75" x14ac:dyDescent="0.25">
      <c r="A12" s="19" t="s">
        <v>11</v>
      </c>
      <c r="B12" s="6">
        <v>11</v>
      </c>
      <c r="C12" s="6">
        <v>0</v>
      </c>
      <c r="D12" s="6">
        <v>1</v>
      </c>
      <c r="E12" s="6">
        <v>0</v>
      </c>
      <c r="F12" s="6">
        <v>0</v>
      </c>
      <c r="G12" s="3">
        <v>113</v>
      </c>
      <c r="H12" s="7">
        <v>0</v>
      </c>
      <c r="I12" s="7">
        <v>1</v>
      </c>
      <c r="J12" s="9">
        <f t="shared" si="0"/>
        <v>1</v>
      </c>
      <c r="K12" s="9">
        <f t="shared" si="1"/>
        <v>1</v>
      </c>
      <c r="L12" s="9">
        <f t="shared" si="9"/>
        <v>0</v>
      </c>
      <c r="M12" s="9">
        <f t="shared" si="10"/>
        <v>0</v>
      </c>
      <c r="N12" s="9">
        <f t="shared" si="2"/>
        <v>0</v>
      </c>
      <c r="O12" s="9">
        <f t="shared" si="3"/>
        <v>0</v>
      </c>
      <c r="P12" s="9">
        <f t="shared" si="4"/>
        <v>0</v>
      </c>
      <c r="Q12" s="15">
        <f t="shared" si="11"/>
        <v>0</v>
      </c>
      <c r="R12" s="15">
        <f t="shared" si="5"/>
        <v>0</v>
      </c>
      <c r="S12" s="15">
        <f t="shared" si="6"/>
        <v>0</v>
      </c>
      <c r="T12" s="15">
        <f t="shared" si="7"/>
        <v>113</v>
      </c>
      <c r="U12" s="15">
        <f t="shared" si="12"/>
        <v>0</v>
      </c>
      <c r="V12" s="15">
        <f t="shared" si="13"/>
        <v>0</v>
      </c>
      <c r="W12" s="15">
        <f t="shared" si="14"/>
        <v>0</v>
      </c>
      <c r="X12" s="15">
        <f t="shared" si="8"/>
        <v>0</v>
      </c>
      <c r="Y12" s="11"/>
      <c r="Z12" s="11"/>
      <c r="AA12" s="11"/>
      <c r="AB12" s="11"/>
      <c r="AC12" s="11"/>
      <c r="AD12" s="11"/>
      <c r="AE12" s="11"/>
      <c r="AF12" s="11"/>
    </row>
    <row r="13" spans="1:32" ht="15.75" x14ac:dyDescent="0.25">
      <c r="A13" s="19" t="s">
        <v>3</v>
      </c>
      <c r="B13" s="6">
        <v>12</v>
      </c>
      <c r="C13" s="6">
        <v>0</v>
      </c>
      <c r="D13" s="6">
        <v>1</v>
      </c>
      <c r="E13" s="6">
        <v>0</v>
      </c>
      <c r="F13" s="6">
        <v>0</v>
      </c>
      <c r="G13" s="3">
        <v>86</v>
      </c>
      <c r="H13" s="7">
        <v>0</v>
      </c>
      <c r="I13" s="7">
        <v>0</v>
      </c>
      <c r="J13" s="9">
        <f t="shared" si="0"/>
        <v>0</v>
      </c>
      <c r="K13" s="9">
        <f t="shared" si="1"/>
        <v>0</v>
      </c>
      <c r="L13" s="9">
        <f t="shared" si="9"/>
        <v>0</v>
      </c>
      <c r="M13" s="9">
        <f t="shared" si="10"/>
        <v>0</v>
      </c>
      <c r="N13" s="9">
        <f t="shared" si="2"/>
        <v>0</v>
      </c>
      <c r="O13" s="9">
        <f t="shared" si="3"/>
        <v>0</v>
      </c>
      <c r="P13" s="9">
        <f t="shared" si="4"/>
        <v>0</v>
      </c>
      <c r="Q13" s="15">
        <f t="shared" si="11"/>
        <v>0</v>
      </c>
      <c r="R13" s="15">
        <f t="shared" si="5"/>
        <v>0</v>
      </c>
      <c r="S13" s="15">
        <f t="shared" si="6"/>
        <v>0</v>
      </c>
      <c r="T13" s="15">
        <f t="shared" si="7"/>
        <v>0</v>
      </c>
      <c r="U13" s="15">
        <f t="shared" si="12"/>
        <v>0</v>
      </c>
      <c r="V13" s="15">
        <f t="shared" si="13"/>
        <v>0</v>
      </c>
      <c r="W13" s="15">
        <f t="shared" si="14"/>
        <v>0</v>
      </c>
      <c r="X13" s="15">
        <f t="shared" si="8"/>
        <v>0</v>
      </c>
      <c r="Y13" s="11"/>
      <c r="Z13" s="11"/>
      <c r="AA13" s="11"/>
      <c r="AB13" s="11"/>
      <c r="AC13" s="11"/>
      <c r="AD13" s="11"/>
      <c r="AE13" s="11"/>
      <c r="AF13" s="11"/>
    </row>
    <row r="14" spans="1:32" ht="15.75" x14ac:dyDescent="0.25">
      <c r="A14" s="19" t="s">
        <v>15</v>
      </c>
      <c r="B14" s="6">
        <v>13</v>
      </c>
      <c r="C14" s="6">
        <v>0</v>
      </c>
      <c r="D14" s="6">
        <v>1</v>
      </c>
      <c r="E14" s="6">
        <v>0</v>
      </c>
      <c r="F14" s="6">
        <v>0</v>
      </c>
      <c r="G14" s="3">
        <v>90</v>
      </c>
      <c r="H14" s="7">
        <v>0</v>
      </c>
      <c r="I14" s="7">
        <v>0</v>
      </c>
      <c r="J14" s="9">
        <f t="shared" si="0"/>
        <v>0</v>
      </c>
      <c r="K14" s="9">
        <f t="shared" si="1"/>
        <v>0</v>
      </c>
      <c r="L14" s="9">
        <f t="shared" si="9"/>
        <v>0</v>
      </c>
      <c r="M14" s="9">
        <f t="shared" si="10"/>
        <v>0</v>
      </c>
      <c r="N14" s="9">
        <f t="shared" si="2"/>
        <v>0</v>
      </c>
      <c r="O14" s="9">
        <f t="shared" si="3"/>
        <v>0</v>
      </c>
      <c r="P14" s="9">
        <f t="shared" si="4"/>
        <v>0</v>
      </c>
      <c r="Q14" s="15">
        <f t="shared" si="11"/>
        <v>0</v>
      </c>
      <c r="R14" s="15">
        <f t="shared" si="5"/>
        <v>0</v>
      </c>
      <c r="S14" s="15">
        <f t="shared" si="6"/>
        <v>0</v>
      </c>
      <c r="T14" s="15">
        <f t="shared" si="7"/>
        <v>0</v>
      </c>
      <c r="U14" s="15">
        <f t="shared" si="12"/>
        <v>0</v>
      </c>
      <c r="V14" s="15">
        <f t="shared" si="13"/>
        <v>0</v>
      </c>
      <c r="W14" s="15">
        <f t="shared" si="14"/>
        <v>0</v>
      </c>
      <c r="X14" s="15">
        <f t="shared" si="8"/>
        <v>0</v>
      </c>
      <c r="Y14" s="11"/>
      <c r="Z14" s="11"/>
      <c r="AA14" s="11"/>
      <c r="AB14" s="11"/>
      <c r="AC14" s="11"/>
      <c r="AD14" s="11"/>
      <c r="AE14" s="11"/>
      <c r="AF14" s="11"/>
    </row>
    <row r="15" spans="1:32" ht="15.75" x14ac:dyDescent="0.25">
      <c r="A15" s="19" t="s">
        <v>14</v>
      </c>
      <c r="B15" s="6">
        <v>14</v>
      </c>
      <c r="C15" s="6">
        <v>0</v>
      </c>
      <c r="D15" s="6">
        <v>1</v>
      </c>
      <c r="E15" s="6">
        <v>0</v>
      </c>
      <c r="F15" s="6">
        <v>0</v>
      </c>
      <c r="G15" s="3">
        <v>105</v>
      </c>
      <c r="H15" s="7">
        <v>0</v>
      </c>
      <c r="I15" s="7">
        <v>1</v>
      </c>
      <c r="J15" s="9">
        <f t="shared" si="0"/>
        <v>1</v>
      </c>
      <c r="K15" s="9">
        <f t="shared" si="1"/>
        <v>1</v>
      </c>
      <c r="L15" s="9">
        <f t="shared" si="9"/>
        <v>0</v>
      </c>
      <c r="M15" s="9">
        <f t="shared" si="10"/>
        <v>0</v>
      </c>
      <c r="N15" s="9">
        <f t="shared" si="2"/>
        <v>0</v>
      </c>
      <c r="O15" s="9">
        <f t="shared" si="3"/>
        <v>0</v>
      </c>
      <c r="P15" s="9">
        <f t="shared" si="4"/>
        <v>0</v>
      </c>
      <c r="Q15" s="15">
        <f t="shared" si="11"/>
        <v>0</v>
      </c>
      <c r="R15" s="15">
        <f t="shared" si="5"/>
        <v>0</v>
      </c>
      <c r="S15" s="15">
        <f t="shared" si="6"/>
        <v>0</v>
      </c>
      <c r="T15" s="15">
        <f t="shared" si="7"/>
        <v>105</v>
      </c>
      <c r="U15" s="15">
        <f t="shared" si="12"/>
        <v>0</v>
      </c>
      <c r="V15" s="15">
        <f t="shared" si="13"/>
        <v>0</v>
      </c>
      <c r="W15" s="15">
        <f t="shared" si="14"/>
        <v>0</v>
      </c>
      <c r="X15" s="15">
        <f t="shared" si="8"/>
        <v>0</v>
      </c>
      <c r="Y15" s="11"/>
      <c r="Z15" s="11"/>
      <c r="AA15" s="11"/>
      <c r="AB15" s="11"/>
      <c r="AC15" s="11"/>
      <c r="AD15" s="11"/>
      <c r="AE15" s="11"/>
      <c r="AF15" s="11"/>
    </row>
    <row r="16" spans="1:32" ht="15.75" x14ac:dyDescent="0.25">
      <c r="A16" s="19" t="s">
        <v>7</v>
      </c>
      <c r="B16" s="6">
        <v>15</v>
      </c>
      <c r="C16" s="6">
        <v>0</v>
      </c>
      <c r="D16" s="6">
        <v>1</v>
      </c>
      <c r="E16" s="6">
        <v>0</v>
      </c>
      <c r="F16" s="6">
        <v>0</v>
      </c>
      <c r="G16" s="3">
        <v>93</v>
      </c>
      <c r="H16" s="7">
        <v>0</v>
      </c>
      <c r="I16" s="7">
        <v>1</v>
      </c>
      <c r="J16" s="9">
        <f t="shared" si="0"/>
        <v>1</v>
      </c>
      <c r="K16" s="9">
        <f t="shared" si="1"/>
        <v>1</v>
      </c>
      <c r="L16" s="9">
        <f t="shared" si="9"/>
        <v>0</v>
      </c>
      <c r="M16" s="9">
        <f t="shared" si="10"/>
        <v>0</v>
      </c>
      <c r="N16" s="9">
        <f t="shared" si="2"/>
        <v>0</v>
      </c>
      <c r="O16" s="9">
        <f t="shared" si="3"/>
        <v>0</v>
      </c>
      <c r="P16" s="9">
        <f t="shared" si="4"/>
        <v>0</v>
      </c>
      <c r="Q16" s="15">
        <f t="shared" si="11"/>
        <v>0</v>
      </c>
      <c r="R16" s="15">
        <f t="shared" si="5"/>
        <v>0</v>
      </c>
      <c r="S16" s="15">
        <f t="shared" si="6"/>
        <v>0</v>
      </c>
      <c r="T16" s="15">
        <f t="shared" si="7"/>
        <v>93</v>
      </c>
      <c r="U16" s="15">
        <f t="shared" si="12"/>
        <v>0</v>
      </c>
      <c r="V16" s="15">
        <f t="shared" si="13"/>
        <v>0</v>
      </c>
      <c r="W16" s="15">
        <f t="shared" si="14"/>
        <v>0</v>
      </c>
      <c r="X16" s="15">
        <f t="shared" si="8"/>
        <v>0</v>
      </c>
      <c r="Y16" s="11"/>
      <c r="Z16" s="11"/>
      <c r="AA16" s="11"/>
      <c r="AB16" s="11"/>
      <c r="AC16" s="11"/>
      <c r="AD16" s="11"/>
      <c r="AE16" s="11"/>
      <c r="AF16" s="11"/>
    </row>
    <row r="17" spans="1:32" ht="15.75" x14ac:dyDescent="0.25">
      <c r="A17" s="19" t="s">
        <v>24</v>
      </c>
      <c r="B17" s="6">
        <v>16</v>
      </c>
      <c r="C17" s="6">
        <v>0</v>
      </c>
      <c r="D17" s="6">
        <v>1</v>
      </c>
      <c r="E17" s="6">
        <v>0</v>
      </c>
      <c r="F17" s="6">
        <v>0</v>
      </c>
      <c r="G17" s="3">
        <v>91</v>
      </c>
      <c r="H17" s="7">
        <v>0</v>
      </c>
      <c r="I17" s="7">
        <v>0</v>
      </c>
      <c r="J17" s="9">
        <f t="shared" si="0"/>
        <v>0</v>
      </c>
      <c r="K17" s="9">
        <f t="shared" si="1"/>
        <v>0</v>
      </c>
      <c r="L17" s="9">
        <f t="shared" si="9"/>
        <v>0</v>
      </c>
      <c r="M17" s="9">
        <f t="shared" si="10"/>
        <v>0</v>
      </c>
      <c r="N17" s="9">
        <f t="shared" si="2"/>
        <v>0</v>
      </c>
      <c r="O17" s="9">
        <f t="shared" si="3"/>
        <v>0</v>
      </c>
      <c r="P17" s="9">
        <f t="shared" si="4"/>
        <v>0</v>
      </c>
      <c r="Q17" s="15">
        <f t="shared" si="11"/>
        <v>0</v>
      </c>
      <c r="R17" s="15">
        <f t="shared" si="5"/>
        <v>0</v>
      </c>
      <c r="S17" s="15">
        <f t="shared" si="6"/>
        <v>0</v>
      </c>
      <c r="T17" s="15">
        <f t="shared" si="7"/>
        <v>0</v>
      </c>
      <c r="U17" s="15">
        <f t="shared" si="12"/>
        <v>0</v>
      </c>
      <c r="V17" s="15">
        <f t="shared" si="13"/>
        <v>0</v>
      </c>
      <c r="W17" s="15">
        <f t="shared" si="14"/>
        <v>0</v>
      </c>
      <c r="X17" s="15">
        <f t="shared" si="8"/>
        <v>0</v>
      </c>
      <c r="Y17" s="11"/>
      <c r="Z17" s="11"/>
      <c r="AA17" s="11"/>
      <c r="AB17" s="11"/>
      <c r="AC17" s="11"/>
      <c r="AD17" s="11"/>
      <c r="AE17" s="11"/>
      <c r="AF17" s="11"/>
    </row>
    <row r="18" spans="1:32" ht="15.75" x14ac:dyDescent="0.25">
      <c r="A18" s="20" t="s">
        <v>4</v>
      </c>
      <c r="B18" s="6">
        <v>17</v>
      </c>
      <c r="C18" s="6">
        <v>0</v>
      </c>
      <c r="D18" s="6">
        <v>0</v>
      </c>
      <c r="E18" s="6">
        <v>1</v>
      </c>
      <c r="F18" s="6">
        <v>0</v>
      </c>
      <c r="G18" s="3">
        <v>71</v>
      </c>
      <c r="H18" s="7">
        <v>0</v>
      </c>
      <c r="I18" s="7">
        <v>0</v>
      </c>
      <c r="J18" s="9">
        <f t="shared" si="0"/>
        <v>0</v>
      </c>
      <c r="K18" s="9">
        <f t="shared" si="1"/>
        <v>0</v>
      </c>
      <c r="L18" s="9">
        <f t="shared" si="9"/>
        <v>0</v>
      </c>
      <c r="M18" s="9">
        <f t="shared" si="10"/>
        <v>0</v>
      </c>
      <c r="N18" s="9">
        <f t="shared" si="2"/>
        <v>0</v>
      </c>
      <c r="O18" s="9">
        <f t="shared" si="3"/>
        <v>0</v>
      </c>
      <c r="P18" s="9">
        <f t="shared" si="4"/>
        <v>0</v>
      </c>
      <c r="Q18" s="16">
        <f t="shared" si="11"/>
        <v>0</v>
      </c>
      <c r="R18" s="16">
        <f t="shared" si="5"/>
        <v>0</v>
      </c>
      <c r="S18" s="16">
        <f t="shared" si="6"/>
        <v>0</v>
      </c>
      <c r="T18" s="16">
        <f t="shared" si="7"/>
        <v>0</v>
      </c>
      <c r="U18" s="16">
        <f t="shared" si="12"/>
        <v>0</v>
      </c>
      <c r="V18" s="16">
        <f t="shared" si="13"/>
        <v>0</v>
      </c>
      <c r="W18" s="16">
        <f t="shared" si="14"/>
        <v>0</v>
      </c>
      <c r="X18" s="16">
        <f t="shared" si="8"/>
        <v>0</v>
      </c>
      <c r="Y18" s="11"/>
      <c r="Z18" s="11"/>
      <c r="AA18" s="11"/>
      <c r="AB18" s="11"/>
      <c r="AC18" s="11"/>
      <c r="AD18" s="11"/>
      <c r="AE18" s="11"/>
      <c r="AF18" s="11"/>
    </row>
    <row r="19" spans="1:32" ht="15.75" x14ac:dyDescent="0.25">
      <c r="A19" s="20" t="s">
        <v>12</v>
      </c>
      <c r="B19" s="6">
        <v>18</v>
      </c>
      <c r="C19" s="6">
        <v>0</v>
      </c>
      <c r="D19" s="6">
        <v>0</v>
      </c>
      <c r="E19" s="6">
        <v>1</v>
      </c>
      <c r="F19" s="6">
        <v>0</v>
      </c>
      <c r="G19" s="3">
        <v>95</v>
      </c>
      <c r="H19" s="7">
        <v>0</v>
      </c>
      <c r="I19" s="7">
        <v>0</v>
      </c>
      <c r="J19" s="9">
        <f t="shared" si="0"/>
        <v>0</v>
      </c>
      <c r="K19" s="9">
        <f t="shared" si="1"/>
        <v>0</v>
      </c>
      <c r="L19" s="9">
        <f t="shared" si="9"/>
        <v>0</v>
      </c>
      <c r="M19" s="9">
        <f t="shared" si="10"/>
        <v>0</v>
      </c>
      <c r="N19" s="9">
        <f t="shared" si="2"/>
        <v>0</v>
      </c>
      <c r="O19" s="9">
        <f t="shared" si="3"/>
        <v>0</v>
      </c>
      <c r="P19" s="9">
        <f t="shared" si="4"/>
        <v>0</v>
      </c>
      <c r="Q19" s="16">
        <f t="shared" si="11"/>
        <v>0</v>
      </c>
      <c r="R19" s="16">
        <f t="shared" si="5"/>
        <v>0</v>
      </c>
      <c r="S19" s="16">
        <f t="shared" si="6"/>
        <v>0</v>
      </c>
      <c r="T19" s="16">
        <f t="shared" si="7"/>
        <v>0</v>
      </c>
      <c r="U19" s="16">
        <f t="shared" si="12"/>
        <v>0</v>
      </c>
      <c r="V19" s="16">
        <f t="shared" si="13"/>
        <v>0</v>
      </c>
      <c r="W19" s="16">
        <f t="shared" si="14"/>
        <v>0</v>
      </c>
      <c r="X19" s="16">
        <f t="shared" si="8"/>
        <v>0</v>
      </c>
      <c r="Y19" s="11"/>
      <c r="Z19" s="11"/>
      <c r="AA19" s="11"/>
      <c r="AB19" s="11"/>
      <c r="AC19" s="11"/>
      <c r="AD19" s="11"/>
      <c r="AE19" s="11"/>
      <c r="AF19" s="11"/>
    </row>
    <row r="20" spans="1:32" ht="15.75" x14ac:dyDescent="0.25">
      <c r="A20" s="20" t="s">
        <v>1</v>
      </c>
      <c r="B20" s="6">
        <v>19</v>
      </c>
      <c r="C20" s="6">
        <v>0</v>
      </c>
      <c r="D20" s="6">
        <v>0</v>
      </c>
      <c r="E20" s="6">
        <v>1</v>
      </c>
      <c r="F20" s="6">
        <v>0</v>
      </c>
      <c r="G20" s="3">
        <v>107</v>
      </c>
      <c r="H20" s="7">
        <v>0</v>
      </c>
      <c r="I20" s="7">
        <v>1</v>
      </c>
      <c r="J20" s="9">
        <f t="shared" si="0"/>
        <v>1</v>
      </c>
      <c r="K20" s="9">
        <f t="shared" si="1"/>
        <v>0</v>
      </c>
      <c r="L20" s="9">
        <f t="shared" si="9"/>
        <v>1</v>
      </c>
      <c r="M20" s="9">
        <f t="shared" si="10"/>
        <v>0</v>
      </c>
      <c r="N20" s="9">
        <f t="shared" si="2"/>
        <v>0</v>
      </c>
      <c r="O20" s="9">
        <f t="shared" si="3"/>
        <v>0</v>
      </c>
      <c r="P20" s="9">
        <f t="shared" si="4"/>
        <v>0</v>
      </c>
      <c r="Q20" s="16">
        <f t="shared" si="11"/>
        <v>0</v>
      </c>
      <c r="R20" s="16">
        <f t="shared" si="5"/>
        <v>0</v>
      </c>
      <c r="S20" s="16">
        <f t="shared" si="6"/>
        <v>0</v>
      </c>
      <c r="T20" s="16">
        <f t="shared" si="7"/>
        <v>0</v>
      </c>
      <c r="U20" s="16">
        <f t="shared" si="12"/>
        <v>0</v>
      </c>
      <c r="V20" s="16">
        <f t="shared" si="13"/>
        <v>107</v>
      </c>
      <c r="W20" s="16">
        <f t="shared" si="14"/>
        <v>0</v>
      </c>
      <c r="X20" s="16">
        <f t="shared" si="8"/>
        <v>0</v>
      </c>
      <c r="Y20" s="11"/>
      <c r="Z20" s="11"/>
      <c r="AA20" s="11"/>
      <c r="AB20" s="11"/>
      <c r="AC20" s="11"/>
      <c r="AD20" s="11"/>
      <c r="AE20" s="11"/>
      <c r="AF20" s="11"/>
    </row>
    <row r="21" spans="1:32" ht="15.75" x14ac:dyDescent="0.25">
      <c r="A21" s="20" t="s">
        <v>13</v>
      </c>
      <c r="B21" s="6">
        <v>20</v>
      </c>
      <c r="C21" s="6">
        <v>0</v>
      </c>
      <c r="D21" s="6">
        <v>0</v>
      </c>
      <c r="E21" s="6">
        <v>1</v>
      </c>
      <c r="F21" s="6">
        <v>0</v>
      </c>
      <c r="G21" s="3">
        <v>104</v>
      </c>
      <c r="H21" s="7">
        <v>0</v>
      </c>
      <c r="I21" s="7">
        <v>1</v>
      </c>
      <c r="J21" s="9">
        <f t="shared" si="0"/>
        <v>1</v>
      </c>
      <c r="K21" s="9">
        <f t="shared" si="1"/>
        <v>0</v>
      </c>
      <c r="L21" s="9">
        <f t="shared" si="9"/>
        <v>1</v>
      </c>
      <c r="M21" s="9">
        <f t="shared" si="10"/>
        <v>0</v>
      </c>
      <c r="N21" s="9">
        <f t="shared" si="2"/>
        <v>0</v>
      </c>
      <c r="O21" s="9">
        <f t="shared" si="3"/>
        <v>0</v>
      </c>
      <c r="P21" s="9">
        <f t="shared" si="4"/>
        <v>0</v>
      </c>
      <c r="Q21" s="16">
        <f t="shared" si="11"/>
        <v>0</v>
      </c>
      <c r="R21" s="16">
        <f t="shared" si="5"/>
        <v>0</v>
      </c>
      <c r="S21" s="16">
        <f t="shared" si="6"/>
        <v>0</v>
      </c>
      <c r="T21" s="16">
        <f t="shared" si="7"/>
        <v>0</v>
      </c>
      <c r="U21" s="16">
        <f t="shared" si="12"/>
        <v>0</v>
      </c>
      <c r="V21" s="16">
        <f t="shared" si="13"/>
        <v>104</v>
      </c>
      <c r="W21" s="16">
        <f t="shared" si="14"/>
        <v>0</v>
      </c>
      <c r="X21" s="16">
        <f t="shared" si="8"/>
        <v>0</v>
      </c>
      <c r="Y21" s="11"/>
      <c r="Z21" s="11"/>
      <c r="AA21" s="11"/>
      <c r="AB21" s="11"/>
      <c r="AC21" s="11"/>
      <c r="AD21" s="11"/>
      <c r="AE21" s="11"/>
      <c r="AF21" s="11"/>
    </row>
    <row r="22" spans="1:32" ht="15.75" x14ac:dyDescent="0.25">
      <c r="A22" s="20" t="s">
        <v>10</v>
      </c>
      <c r="B22" s="6">
        <v>21</v>
      </c>
      <c r="C22" s="6">
        <v>0</v>
      </c>
      <c r="D22" s="6">
        <v>0</v>
      </c>
      <c r="E22" s="6">
        <v>1</v>
      </c>
      <c r="F22" s="6">
        <v>0</v>
      </c>
      <c r="G22" s="3">
        <v>110</v>
      </c>
      <c r="H22" s="7">
        <v>1</v>
      </c>
      <c r="I22" s="7">
        <v>0</v>
      </c>
      <c r="J22" s="9">
        <f t="shared" si="0"/>
        <v>1</v>
      </c>
      <c r="K22" s="9">
        <f t="shared" si="1"/>
        <v>0</v>
      </c>
      <c r="L22" s="9">
        <f t="shared" si="9"/>
        <v>1</v>
      </c>
      <c r="M22" s="9">
        <f t="shared" si="10"/>
        <v>0</v>
      </c>
      <c r="N22" s="9">
        <f t="shared" si="2"/>
        <v>0</v>
      </c>
      <c r="O22" s="9">
        <f t="shared" si="3"/>
        <v>1</v>
      </c>
      <c r="P22" s="9">
        <f t="shared" si="4"/>
        <v>0</v>
      </c>
      <c r="Q22" s="16">
        <f t="shared" si="11"/>
        <v>0</v>
      </c>
      <c r="R22" s="16">
        <f t="shared" si="5"/>
        <v>0</v>
      </c>
      <c r="S22" s="16">
        <f t="shared" si="6"/>
        <v>0</v>
      </c>
      <c r="T22" s="16">
        <f t="shared" si="7"/>
        <v>0</v>
      </c>
      <c r="U22" s="16">
        <f t="shared" si="12"/>
        <v>110</v>
      </c>
      <c r="V22" s="16">
        <f t="shared" si="13"/>
        <v>0</v>
      </c>
      <c r="W22" s="16">
        <f t="shared" si="14"/>
        <v>0</v>
      </c>
      <c r="X22" s="16">
        <f t="shared" si="8"/>
        <v>0</v>
      </c>
      <c r="Y22" s="11"/>
      <c r="Z22" s="11"/>
      <c r="AA22" s="11"/>
      <c r="AB22" s="11"/>
      <c r="AC22" s="11"/>
      <c r="AD22" s="11"/>
      <c r="AE22" s="11"/>
      <c r="AF22" s="11"/>
    </row>
    <row r="23" spans="1:32" ht="15.75" x14ac:dyDescent="0.25">
      <c r="A23" s="20" t="s">
        <v>2</v>
      </c>
      <c r="B23" s="6">
        <v>22</v>
      </c>
      <c r="C23" s="6">
        <v>0</v>
      </c>
      <c r="D23" s="6">
        <v>0</v>
      </c>
      <c r="E23" s="6">
        <v>1</v>
      </c>
      <c r="F23" s="6">
        <v>0</v>
      </c>
      <c r="G23" s="3">
        <v>81</v>
      </c>
      <c r="H23" s="7">
        <v>0</v>
      </c>
      <c r="I23" s="7">
        <v>0</v>
      </c>
      <c r="J23" s="9">
        <f t="shared" si="0"/>
        <v>0</v>
      </c>
      <c r="K23" s="9">
        <f t="shared" si="1"/>
        <v>0</v>
      </c>
      <c r="L23" s="9">
        <f t="shared" si="9"/>
        <v>0</v>
      </c>
      <c r="M23" s="9">
        <f t="shared" si="10"/>
        <v>0</v>
      </c>
      <c r="N23" s="9">
        <f t="shared" si="2"/>
        <v>0</v>
      </c>
      <c r="O23" s="9">
        <f t="shared" si="3"/>
        <v>0</v>
      </c>
      <c r="P23" s="9">
        <f t="shared" si="4"/>
        <v>0</v>
      </c>
      <c r="Q23" s="16">
        <f t="shared" si="11"/>
        <v>0</v>
      </c>
      <c r="R23" s="16">
        <f t="shared" si="5"/>
        <v>0</v>
      </c>
      <c r="S23" s="16">
        <f t="shared" si="6"/>
        <v>0</v>
      </c>
      <c r="T23" s="16">
        <f t="shared" si="7"/>
        <v>0</v>
      </c>
      <c r="U23" s="16">
        <f t="shared" si="12"/>
        <v>0</v>
      </c>
      <c r="V23" s="16">
        <f t="shared" si="13"/>
        <v>0</v>
      </c>
      <c r="W23" s="16">
        <f t="shared" si="14"/>
        <v>0</v>
      </c>
      <c r="X23" s="16">
        <f t="shared" si="8"/>
        <v>0</v>
      </c>
      <c r="Y23" s="11"/>
      <c r="Z23" s="11"/>
      <c r="AA23" s="11"/>
      <c r="AB23" s="11"/>
      <c r="AC23" s="11"/>
      <c r="AD23" s="11"/>
      <c r="AE23" s="11"/>
      <c r="AF23" s="11"/>
    </row>
    <row r="24" spans="1:32" ht="15.75" x14ac:dyDescent="0.25">
      <c r="A24" s="20" t="s">
        <v>19</v>
      </c>
      <c r="B24" s="6">
        <v>23</v>
      </c>
      <c r="C24" s="6">
        <v>0</v>
      </c>
      <c r="D24" s="6">
        <v>0</v>
      </c>
      <c r="E24" s="6">
        <v>1</v>
      </c>
      <c r="F24" s="6">
        <v>0</v>
      </c>
      <c r="G24" s="3">
        <v>97</v>
      </c>
      <c r="H24" s="7">
        <v>0</v>
      </c>
      <c r="I24" s="7">
        <v>1</v>
      </c>
      <c r="J24" s="9">
        <f t="shared" si="0"/>
        <v>1</v>
      </c>
      <c r="K24" s="9">
        <f t="shared" si="1"/>
        <v>0</v>
      </c>
      <c r="L24" s="9">
        <f t="shared" si="9"/>
        <v>1</v>
      </c>
      <c r="M24" s="9">
        <f t="shared" si="10"/>
        <v>0</v>
      </c>
      <c r="N24" s="9">
        <f t="shared" si="2"/>
        <v>0</v>
      </c>
      <c r="O24" s="9">
        <f t="shared" si="3"/>
        <v>0</v>
      </c>
      <c r="P24" s="9">
        <f t="shared" si="4"/>
        <v>0</v>
      </c>
      <c r="Q24" s="16">
        <f t="shared" si="11"/>
        <v>0</v>
      </c>
      <c r="R24" s="16">
        <f t="shared" si="5"/>
        <v>0</v>
      </c>
      <c r="S24" s="16">
        <f t="shared" si="6"/>
        <v>0</v>
      </c>
      <c r="T24" s="16">
        <f t="shared" si="7"/>
        <v>0</v>
      </c>
      <c r="U24" s="16">
        <f t="shared" si="12"/>
        <v>0</v>
      </c>
      <c r="V24" s="16">
        <f t="shared" si="13"/>
        <v>97</v>
      </c>
      <c r="W24" s="16">
        <f t="shared" si="14"/>
        <v>0</v>
      </c>
      <c r="X24" s="16">
        <f t="shared" si="8"/>
        <v>0</v>
      </c>
      <c r="Y24" s="11"/>
      <c r="Z24" s="11"/>
      <c r="AA24" s="11"/>
      <c r="AB24" s="11"/>
      <c r="AC24" s="11"/>
      <c r="AD24" s="11"/>
      <c r="AE24" s="11"/>
      <c r="AF24" s="11"/>
    </row>
    <row r="25" spans="1:32" ht="15.75" x14ac:dyDescent="0.25">
      <c r="A25" s="21" t="s">
        <v>5</v>
      </c>
      <c r="B25" s="6">
        <v>24</v>
      </c>
      <c r="C25" s="6">
        <v>0</v>
      </c>
      <c r="D25" s="6">
        <v>0</v>
      </c>
      <c r="E25" s="6">
        <v>0</v>
      </c>
      <c r="F25" s="6">
        <v>1</v>
      </c>
      <c r="G25" s="3">
        <v>110</v>
      </c>
      <c r="H25" s="7">
        <v>1</v>
      </c>
      <c r="I25" s="7">
        <v>0</v>
      </c>
      <c r="J25" s="9">
        <f t="shared" si="0"/>
        <v>1</v>
      </c>
      <c r="K25" s="9">
        <f t="shared" si="1"/>
        <v>0</v>
      </c>
      <c r="L25" s="9">
        <f t="shared" si="9"/>
        <v>1</v>
      </c>
      <c r="M25" s="9">
        <f t="shared" si="10"/>
        <v>0</v>
      </c>
      <c r="N25" s="9">
        <f t="shared" si="2"/>
        <v>0</v>
      </c>
      <c r="O25" s="9">
        <f t="shared" si="3"/>
        <v>0</v>
      </c>
      <c r="P25" s="9">
        <f t="shared" si="4"/>
        <v>1</v>
      </c>
      <c r="Q25" s="14">
        <f t="shared" si="11"/>
        <v>0</v>
      </c>
      <c r="R25" s="14">
        <f t="shared" si="5"/>
        <v>0</v>
      </c>
      <c r="S25" s="14">
        <f t="shared" si="6"/>
        <v>0</v>
      </c>
      <c r="T25" s="14">
        <f t="shared" si="7"/>
        <v>0</v>
      </c>
      <c r="U25" s="14">
        <f t="shared" si="12"/>
        <v>0</v>
      </c>
      <c r="V25" s="14">
        <f t="shared" si="13"/>
        <v>0</v>
      </c>
      <c r="W25" s="14">
        <f t="shared" si="14"/>
        <v>110</v>
      </c>
      <c r="X25" s="14">
        <f t="shared" si="8"/>
        <v>0</v>
      </c>
      <c r="Y25" s="11"/>
      <c r="Z25" s="11"/>
      <c r="AA25" s="11"/>
      <c r="AB25" s="11"/>
      <c r="AC25" s="11"/>
      <c r="AD25" s="11"/>
      <c r="AE25" s="11"/>
      <c r="AF25" s="11"/>
    </row>
    <row r="26" spans="1:32" ht="15.75" x14ac:dyDescent="0.25">
      <c r="A26" s="21" t="s">
        <v>18</v>
      </c>
      <c r="B26" s="6">
        <v>25</v>
      </c>
      <c r="C26" s="6">
        <v>0</v>
      </c>
      <c r="D26" s="6">
        <v>0</v>
      </c>
      <c r="E26" s="6">
        <v>0</v>
      </c>
      <c r="F26" s="6">
        <v>1</v>
      </c>
      <c r="G26" s="3">
        <v>67</v>
      </c>
      <c r="H26" s="7">
        <v>0</v>
      </c>
      <c r="I26" s="7">
        <v>0</v>
      </c>
      <c r="J26" s="9">
        <f t="shared" si="0"/>
        <v>0</v>
      </c>
      <c r="K26" s="9">
        <f t="shared" si="1"/>
        <v>0</v>
      </c>
      <c r="L26" s="9">
        <f t="shared" si="9"/>
        <v>0</v>
      </c>
      <c r="M26" s="9">
        <f t="shared" si="10"/>
        <v>0</v>
      </c>
      <c r="N26" s="9">
        <f t="shared" si="2"/>
        <v>0</v>
      </c>
      <c r="O26" s="9">
        <f t="shared" si="3"/>
        <v>0</v>
      </c>
      <c r="P26" s="9">
        <f t="shared" si="4"/>
        <v>0</v>
      </c>
      <c r="Q26" s="14">
        <f t="shared" si="11"/>
        <v>0</v>
      </c>
      <c r="R26" s="14">
        <f t="shared" si="5"/>
        <v>0</v>
      </c>
      <c r="S26" s="14">
        <f t="shared" si="6"/>
        <v>0</v>
      </c>
      <c r="T26" s="14">
        <f t="shared" si="7"/>
        <v>0</v>
      </c>
      <c r="U26" s="14">
        <f t="shared" si="12"/>
        <v>0</v>
      </c>
      <c r="V26" s="14">
        <f t="shared" si="13"/>
        <v>0</v>
      </c>
      <c r="W26" s="14">
        <f t="shared" si="14"/>
        <v>0</v>
      </c>
      <c r="X26" s="14">
        <f t="shared" si="8"/>
        <v>0</v>
      </c>
      <c r="Y26" s="11"/>
      <c r="Z26" s="11"/>
      <c r="AA26" s="11"/>
      <c r="AB26" s="11"/>
      <c r="AC26" s="11"/>
      <c r="AD26" s="11"/>
      <c r="AE26" s="11"/>
      <c r="AF26" s="11"/>
    </row>
    <row r="27" spans="1:32" ht="15.75" x14ac:dyDescent="0.25">
      <c r="A27" s="21" t="s">
        <v>20</v>
      </c>
      <c r="B27" s="6">
        <v>26</v>
      </c>
      <c r="C27" s="6">
        <v>0</v>
      </c>
      <c r="D27" s="6">
        <v>0</v>
      </c>
      <c r="E27" s="6">
        <v>0</v>
      </c>
      <c r="F27" s="6">
        <v>1</v>
      </c>
      <c r="G27" s="3">
        <v>96</v>
      </c>
      <c r="H27" s="7">
        <v>0</v>
      </c>
      <c r="I27" s="7">
        <v>1</v>
      </c>
      <c r="J27" s="9">
        <f t="shared" si="0"/>
        <v>1</v>
      </c>
      <c r="K27" s="9">
        <f t="shared" si="1"/>
        <v>0</v>
      </c>
      <c r="L27" s="9">
        <f t="shared" si="9"/>
        <v>1</v>
      </c>
      <c r="M27" s="9">
        <f t="shared" si="10"/>
        <v>0</v>
      </c>
      <c r="N27" s="9">
        <f t="shared" si="2"/>
        <v>0</v>
      </c>
      <c r="O27" s="9">
        <f t="shared" si="3"/>
        <v>0</v>
      </c>
      <c r="P27" s="9">
        <f t="shared" si="4"/>
        <v>0</v>
      </c>
      <c r="Q27" s="14">
        <f t="shared" si="11"/>
        <v>0</v>
      </c>
      <c r="R27" s="14">
        <f t="shared" si="5"/>
        <v>0</v>
      </c>
      <c r="S27" s="14">
        <f t="shared" si="6"/>
        <v>0</v>
      </c>
      <c r="T27" s="14">
        <f t="shared" si="7"/>
        <v>0</v>
      </c>
      <c r="U27" s="14">
        <f t="shared" si="12"/>
        <v>0</v>
      </c>
      <c r="V27" s="14">
        <f t="shared" si="13"/>
        <v>0</v>
      </c>
      <c r="W27" s="14">
        <f t="shared" si="14"/>
        <v>0</v>
      </c>
      <c r="X27" s="14">
        <f t="shared" si="8"/>
        <v>96</v>
      </c>
      <c r="Y27" s="11"/>
      <c r="Z27" s="11"/>
      <c r="AA27" s="11"/>
      <c r="AB27" s="11"/>
      <c r="AC27" s="11"/>
      <c r="AD27" s="11"/>
      <c r="AE27" s="11"/>
      <c r="AF27" s="11"/>
    </row>
    <row r="28" spans="1:32" ht="15.75" x14ac:dyDescent="0.25">
      <c r="A28" s="21" t="s">
        <v>23</v>
      </c>
      <c r="B28" s="6">
        <v>27</v>
      </c>
      <c r="C28" s="6">
        <v>0</v>
      </c>
      <c r="D28" s="6">
        <v>0</v>
      </c>
      <c r="E28" s="6">
        <v>0</v>
      </c>
      <c r="F28" s="6">
        <v>1</v>
      </c>
      <c r="G28" s="3">
        <v>71</v>
      </c>
      <c r="H28" s="7">
        <v>0</v>
      </c>
      <c r="I28" s="7">
        <v>0</v>
      </c>
      <c r="J28" s="9">
        <f t="shared" si="0"/>
        <v>0</v>
      </c>
      <c r="K28" s="9">
        <f t="shared" si="1"/>
        <v>0</v>
      </c>
      <c r="L28" s="9">
        <f t="shared" si="9"/>
        <v>0</v>
      </c>
      <c r="M28" s="9">
        <f t="shared" si="10"/>
        <v>0</v>
      </c>
      <c r="N28" s="9">
        <f t="shared" si="2"/>
        <v>0</v>
      </c>
      <c r="O28" s="9">
        <f t="shared" si="3"/>
        <v>0</v>
      </c>
      <c r="P28" s="9">
        <f t="shared" si="4"/>
        <v>0</v>
      </c>
      <c r="Q28" s="14">
        <f t="shared" si="11"/>
        <v>0</v>
      </c>
      <c r="R28" s="14">
        <f t="shared" si="5"/>
        <v>0</v>
      </c>
      <c r="S28" s="14">
        <f t="shared" si="6"/>
        <v>0</v>
      </c>
      <c r="T28" s="14">
        <f t="shared" si="7"/>
        <v>0</v>
      </c>
      <c r="U28" s="14">
        <f t="shared" si="12"/>
        <v>0</v>
      </c>
      <c r="V28" s="14">
        <f t="shared" si="13"/>
        <v>0</v>
      </c>
      <c r="W28" s="14">
        <f t="shared" si="14"/>
        <v>0</v>
      </c>
      <c r="X28" s="14">
        <f t="shared" si="8"/>
        <v>0</v>
      </c>
      <c r="Y28" s="11"/>
      <c r="Z28" s="11"/>
      <c r="AA28" s="11"/>
      <c r="AB28" s="11"/>
      <c r="AC28" s="11"/>
      <c r="AD28" s="11"/>
      <c r="AE28" s="11"/>
      <c r="AF28" s="11"/>
    </row>
    <row r="29" spans="1:32" ht="15.75" x14ac:dyDescent="0.25">
      <c r="A29" s="21" t="s">
        <v>38</v>
      </c>
      <c r="B29" s="6">
        <v>28</v>
      </c>
      <c r="C29" s="6">
        <v>0</v>
      </c>
      <c r="D29" s="6">
        <v>0</v>
      </c>
      <c r="E29" s="6">
        <v>0</v>
      </c>
      <c r="F29" s="6">
        <v>1</v>
      </c>
      <c r="G29" s="3">
        <v>68</v>
      </c>
      <c r="H29" s="7">
        <v>0</v>
      </c>
      <c r="I29" s="7">
        <v>0</v>
      </c>
      <c r="J29" s="9">
        <f t="shared" si="0"/>
        <v>0</v>
      </c>
      <c r="K29" s="9">
        <f t="shared" si="1"/>
        <v>0</v>
      </c>
      <c r="L29" s="9">
        <f t="shared" si="9"/>
        <v>0</v>
      </c>
      <c r="M29" s="9">
        <f t="shared" si="10"/>
        <v>0</v>
      </c>
      <c r="N29" s="9">
        <f t="shared" si="2"/>
        <v>0</v>
      </c>
      <c r="O29" s="9">
        <f t="shared" si="3"/>
        <v>0</v>
      </c>
      <c r="P29" s="9">
        <f t="shared" si="4"/>
        <v>0</v>
      </c>
      <c r="Q29" s="14">
        <f t="shared" si="11"/>
        <v>0</v>
      </c>
      <c r="R29" s="14">
        <f t="shared" si="5"/>
        <v>0</v>
      </c>
      <c r="S29" s="14">
        <f t="shared" si="6"/>
        <v>0</v>
      </c>
      <c r="T29" s="14">
        <f t="shared" si="7"/>
        <v>0</v>
      </c>
      <c r="U29" s="14">
        <f t="shared" si="12"/>
        <v>0</v>
      </c>
      <c r="V29" s="14">
        <f t="shared" si="13"/>
        <v>0</v>
      </c>
      <c r="W29" s="14">
        <f t="shared" si="14"/>
        <v>0</v>
      </c>
      <c r="X29" s="14">
        <f t="shared" si="8"/>
        <v>0</v>
      </c>
      <c r="Y29" s="11"/>
      <c r="Z29" s="11"/>
      <c r="AA29" s="11"/>
      <c r="AB29" s="11"/>
      <c r="AC29" s="11"/>
      <c r="AD29" s="11"/>
      <c r="AE29" s="11"/>
      <c r="AF29" s="11"/>
    </row>
    <row r="30" spans="1:32" ht="15.75" x14ac:dyDescent="0.25">
      <c r="A30" s="21" t="s">
        <v>6</v>
      </c>
      <c r="B30" s="6">
        <v>29</v>
      </c>
      <c r="C30" s="6">
        <v>0</v>
      </c>
      <c r="D30" s="6">
        <v>0</v>
      </c>
      <c r="E30" s="6">
        <v>0</v>
      </c>
      <c r="F30" s="6">
        <v>1</v>
      </c>
      <c r="G30" s="3">
        <v>107</v>
      </c>
      <c r="H30" s="7">
        <v>0</v>
      </c>
      <c r="I30" s="7">
        <v>1</v>
      </c>
      <c r="J30" s="9">
        <f t="shared" si="0"/>
        <v>1</v>
      </c>
      <c r="K30" s="9">
        <f t="shared" si="1"/>
        <v>0</v>
      </c>
      <c r="L30" s="9">
        <f t="shared" si="9"/>
        <v>1</v>
      </c>
      <c r="M30" s="9">
        <f t="shared" si="10"/>
        <v>0</v>
      </c>
      <c r="N30" s="9">
        <f t="shared" si="2"/>
        <v>0</v>
      </c>
      <c r="O30" s="9">
        <f t="shared" si="3"/>
        <v>0</v>
      </c>
      <c r="P30" s="9">
        <f t="shared" si="4"/>
        <v>0</v>
      </c>
      <c r="Q30" s="14">
        <f t="shared" si="11"/>
        <v>0</v>
      </c>
      <c r="R30" s="14">
        <f t="shared" si="5"/>
        <v>0</v>
      </c>
      <c r="S30" s="14">
        <f t="shared" si="6"/>
        <v>0</v>
      </c>
      <c r="T30" s="14">
        <f t="shared" si="7"/>
        <v>0</v>
      </c>
      <c r="U30" s="14">
        <f t="shared" si="12"/>
        <v>0</v>
      </c>
      <c r="V30" s="14">
        <f t="shared" si="13"/>
        <v>0</v>
      </c>
      <c r="W30" s="14">
        <f t="shared" si="14"/>
        <v>0</v>
      </c>
      <c r="X30" s="14">
        <f t="shared" si="8"/>
        <v>107</v>
      </c>
      <c r="Y30" s="11"/>
      <c r="Z30" s="11"/>
      <c r="AA30" s="11"/>
      <c r="AB30" s="11"/>
      <c r="AC30" s="11"/>
      <c r="AD30" s="11"/>
      <c r="AE30" s="11"/>
      <c r="AF30" s="11"/>
    </row>
    <row r="31" spans="1:32" ht="15.75" x14ac:dyDescent="0.25">
      <c r="A31" s="21" t="s">
        <v>22</v>
      </c>
      <c r="B31" s="6">
        <v>30</v>
      </c>
      <c r="C31" s="6">
        <v>0</v>
      </c>
      <c r="D31" s="6">
        <v>0</v>
      </c>
      <c r="E31" s="6">
        <v>0</v>
      </c>
      <c r="F31" s="6">
        <v>1</v>
      </c>
      <c r="G31" s="3">
        <v>105</v>
      </c>
      <c r="H31" s="7">
        <v>0</v>
      </c>
      <c r="I31" s="7">
        <v>1</v>
      </c>
      <c r="J31" s="9">
        <f t="shared" si="0"/>
        <v>1</v>
      </c>
      <c r="K31" s="9">
        <f t="shared" si="1"/>
        <v>0</v>
      </c>
      <c r="L31" s="9">
        <f t="shared" si="9"/>
        <v>1</v>
      </c>
      <c r="M31" s="9">
        <f t="shared" si="10"/>
        <v>0</v>
      </c>
      <c r="N31" s="9">
        <f t="shared" si="2"/>
        <v>0</v>
      </c>
      <c r="O31" s="9">
        <f t="shared" si="3"/>
        <v>0</v>
      </c>
      <c r="P31" s="9">
        <f t="shared" si="4"/>
        <v>0</v>
      </c>
      <c r="Q31" s="14">
        <f t="shared" si="11"/>
        <v>0</v>
      </c>
      <c r="R31" s="14">
        <f t="shared" si="5"/>
        <v>0</v>
      </c>
      <c r="S31" s="14">
        <f t="shared" si="6"/>
        <v>0</v>
      </c>
      <c r="T31" s="14">
        <f t="shared" si="7"/>
        <v>0</v>
      </c>
      <c r="U31" s="14">
        <f t="shared" si="12"/>
        <v>0</v>
      </c>
      <c r="V31" s="14">
        <f t="shared" si="13"/>
        <v>0</v>
      </c>
      <c r="W31" s="14">
        <f t="shared" si="14"/>
        <v>0</v>
      </c>
      <c r="X31" s="14">
        <f t="shared" si="8"/>
        <v>105</v>
      </c>
      <c r="Y31" s="11"/>
      <c r="Z31" s="11"/>
      <c r="AA31" s="11"/>
      <c r="AB31" s="11"/>
      <c r="AC31" s="11"/>
      <c r="AD31" s="11"/>
      <c r="AE31" s="11"/>
      <c r="AF31" s="11"/>
    </row>
    <row r="32" spans="1:32" ht="15.75" x14ac:dyDescent="0.25">
      <c r="A32" s="2"/>
      <c r="B32" s="2"/>
      <c r="C32" s="2"/>
      <c r="D32" s="2"/>
      <c r="E32" s="2"/>
      <c r="F32" s="1"/>
    </row>
    <row r="33" spans="1:26" ht="15.75" x14ac:dyDescent="0.25">
      <c r="A33" s="2" t="s">
        <v>45</v>
      </c>
      <c r="B33" s="2"/>
      <c r="C33" s="2"/>
      <c r="D33" s="2"/>
      <c r="E33" s="2"/>
      <c r="F33" s="1"/>
      <c r="H33">
        <f>SUM(H2:H31)</f>
        <v>4</v>
      </c>
      <c r="I33">
        <f>SUM(I2:I31)</f>
        <v>12</v>
      </c>
      <c r="K33">
        <f>SUM(K2:K31)</f>
        <v>8</v>
      </c>
      <c r="L33">
        <f>SUM(L2:L31)</f>
        <v>8</v>
      </c>
      <c r="N33" s="6"/>
      <c r="O33" t="s">
        <v>74</v>
      </c>
      <c r="U33" s="17"/>
      <c r="V33" t="s">
        <v>60</v>
      </c>
      <c r="Z33" s="11"/>
    </row>
    <row r="34" spans="1:26" ht="15.75" x14ac:dyDescent="0.25">
      <c r="A34" s="2"/>
      <c r="B34" s="2"/>
      <c r="C34" s="2"/>
      <c r="D34" s="2"/>
      <c r="E34" s="2"/>
      <c r="F34" s="1"/>
      <c r="N34" s="9"/>
      <c r="O34" t="s">
        <v>75</v>
      </c>
      <c r="U34" s="15"/>
      <c r="V34" t="s">
        <v>59</v>
      </c>
      <c r="Z34" s="11"/>
    </row>
    <row r="35" spans="1:26" ht="15.75" x14ac:dyDescent="0.25">
      <c r="A35" s="2" t="s">
        <v>36</v>
      </c>
      <c r="B35" s="2"/>
      <c r="C35" s="2"/>
      <c r="D35" s="2"/>
      <c r="E35" s="2"/>
      <c r="F35" s="1"/>
      <c r="N35" s="7"/>
      <c r="O35" t="s">
        <v>76</v>
      </c>
      <c r="U35" s="12"/>
      <c r="V35" t="s">
        <v>61</v>
      </c>
    </row>
    <row r="36" spans="1:26" ht="15.75" x14ac:dyDescent="0.25">
      <c r="A36" s="1" t="s">
        <v>35</v>
      </c>
      <c r="B36">
        <f>SUMPRODUCT(G2:G31,H2:H31)</f>
        <v>440</v>
      </c>
      <c r="N36" s="3"/>
      <c r="O36" t="s">
        <v>77</v>
      </c>
      <c r="U36" s="14"/>
      <c r="V36" t="s">
        <v>62</v>
      </c>
    </row>
    <row r="37" spans="1:26" ht="15.75" x14ac:dyDescent="0.25">
      <c r="A37" s="1" t="s">
        <v>34</v>
      </c>
      <c r="B37">
        <f>SUMPRODUCT(G2:G31,I2:I31)</f>
        <v>1218</v>
      </c>
    </row>
    <row r="38" spans="1:26" x14ac:dyDescent="0.25">
      <c r="D38" t="s">
        <v>83</v>
      </c>
    </row>
    <row r="39" spans="1:26" ht="15.75" x14ac:dyDescent="0.25">
      <c r="A39" s="1" t="s">
        <v>33</v>
      </c>
      <c r="B39">
        <f>2*B36+B37</f>
        <v>2098</v>
      </c>
      <c r="D39">
        <f>B36+B37</f>
        <v>1658</v>
      </c>
      <c r="H39" t="s">
        <v>82</v>
      </c>
    </row>
    <row r="41" spans="1:26" ht="15.75" x14ac:dyDescent="0.25">
      <c r="A41" s="1" t="s">
        <v>47</v>
      </c>
    </row>
    <row r="42" spans="1:26" x14ac:dyDescent="0.25">
      <c r="B42">
        <f>SUM(H2:H31) +SUM(I2:I31)</f>
        <v>16</v>
      </c>
      <c r="C42" t="s">
        <v>48</v>
      </c>
      <c r="D42">
        <v>16</v>
      </c>
    </row>
    <row r="43" spans="1:26" x14ac:dyDescent="0.25">
      <c r="C43" t="s">
        <v>49</v>
      </c>
      <c r="D43">
        <v>1</v>
      </c>
    </row>
    <row r="44" spans="1:26" x14ac:dyDescent="0.25">
      <c r="B44">
        <f>SUM(K2:K31)</f>
        <v>8</v>
      </c>
      <c r="C44" t="s">
        <v>49</v>
      </c>
      <c r="D44">
        <v>8</v>
      </c>
    </row>
    <row r="45" spans="1:26" x14ac:dyDescent="0.25">
      <c r="B45">
        <f>SUM(L2:L31)</f>
        <v>8</v>
      </c>
      <c r="C45" t="s">
        <v>49</v>
      </c>
      <c r="D45">
        <v>8</v>
      </c>
    </row>
    <row r="47" spans="1:26" x14ac:dyDescent="0.25">
      <c r="A47" t="s">
        <v>54</v>
      </c>
      <c r="B47">
        <f>SUM(M2:M31)</f>
        <v>1</v>
      </c>
      <c r="C47" t="s">
        <v>48</v>
      </c>
      <c r="D47">
        <f>SUM(N2:N31)</f>
        <v>1</v>
      </c>
    </row>
    <row r="48" spans="1:26" x14ac:dyDescent="0.25">
      <c r="A48" t="s">
        <v>55</v>
      </c>
      <c r="B48">
        <f>SUM(O2:O31)</f>
        <v>1</v>
      </c>
      <c r="C48" t="s">
        <v>48</v>
      </c>
      <c r="D48">
        <f>SUM(P2:P31)</f>
        <v>1</v>
      </c>
    </row>
    <row r="50" spans="1:4" x14ac:dyDescent="0.25">
      <c r="A50" t="s">
        <v>57</v>
      </c>
      <c r="B50">
        <f>B47</f>
        <v>1</v>
      </c>
      <c r="C50" t="s">
        <v>56</v>
      </c>
      <c r="D50">
        <f>B48</f>
        <v>1</v>
      </c>
    </row>
    <row r="51" spans="1:4" x14ac:dyDescent="0.25">
      <c r="B51" t="s">
        <v>58</v>
      </c>
    </row>
    <row r="53" spans="1:4" x14ac:dyDescent="0.25">
      <c r="A53" t="s">
        <v>80</v>
      </c>
      <c r="B53">
        <f>SUMPRODUCT($H$2:$H$31,$C$2:$C$31)</f>
        <v>1</v>
      </c>
      <c r="C53" t="s">
        <v>49</v>
      </c>
      <c r="D53">
        <v>1</v>
      </c>
    </row>
    <row r="54" spans="1:4" x14ac:dyDescent="0.25">
      <c r="B54">
        <f>SUMPRODUCT($H$2:$H$31,$D$2:$D$31)</f>
        <v>1</v>
      </c>
      <c r="C54" t="s">
        <v>49</v>
      </c>
      <c r="D54">
        <v>1</v>
      </c>
    </row>
    <row r="55" spans="1:4" x14ac:dyDescent="0.25">
      <c r="B55">
        <f>SUMPRODUCT($H$2:$H$31,$E$2:$E$31)</f>
        <v>1</v>
      </c>
      <c r="C55" t="s">
        <v>49</v>
      </c>
      <c r="D55">
        <v>1</v>
      </c>
    </row>
    <row r="56" spans="1:4" x14ac:dyDescent="0.25">
      <c r="B56">
        <f>SUMPRODUCT($H$2:$H$31,$F$2:$F$31)</f>
        <v>1</v>
      </c>
      <c r="C56" t="s">
        <v>49</v>
      </c>
      <c r="D56">
        <v>1</v>
      </c>
    </row>
  </sheetData>
  <autoFilter ref="A1:X31">
    <sortState ref="A2:X31">
      <sortCondition ref="B1:B31"/>
    </sortState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56"/>
  <sheetViews>
    <sheetView tabSelected="1" topLeftCell="A12" workbookViewId="0">
      <selection activeCell="G2" sqref="G2:G31"/>
    </sheetView>
  </sheetViews>
  <sheetFormatPr defaultRowHeight="15" x14ac:dyDescent="0.25"/>
  <cols>
    <col min="1" max="1" width="21" bestFit="1" customWidth="1"/>
    <col min="25" max="25" width="7.28515625" customWidth="1"/>
    <col min="26" max="26" width="6.7109375" customWidth="1"/>
    <col min="27" max="27" width="6.5703125" customWidth="1"/>
  </cols>
  <sheetData>
    <row r="1" spans="1:32" ht="47.25" x14ac:dyDescent="0.25">
      <c r="A1" s="4" t="s">
        <v>25</v>
      </c>
      <c r="B1" s="4" t="s">
        <v>37</v>
      </c>
      <c r="C1" s="4" t="s">
        <v>28</v>
      </c>
      <c r="D1" s="4" t="s">
        <v>29</v>
      </c>
      <c r="E1" s="4" t="s">
        <v>30</v>
      </c>
      <c r="F1" s="4" t="s">
        <v>31</v>
      </c>
      <c r="G1" s="5" t="s">
        <v>32</v>
      </c>
      <c r="H1" s="5" t="s">
        <v>26</v>
      </c>
      <c r="I1" s="5" t="s">
        <v>27</v>
      </c>
      <c r="J1" s="13" t="s">
        <v>46</v>
      </c>
      <c r="K1" s="13" t="s">
        <v>43</v>
      </c>
      <c r="L1" s="13" t="s">
        <v>44</v>
      </c>
      <c r="M1" s="8" t="s">
        <v>51</v>
      </c>
      <c r="N1" s="8" t="s">
        <v>50</v>
      </c>
      <c r="O1" s="8" t="s">
        <v>52</v>
      </c>
      <c r="P1" s="8" t="s">
        <v>53</v>
      </c>
      <c r="Q1" s="8" t="s">
        <v>66</v>
      </c>
      <c r="R1" s="8" t="s">
        <v>67</v>
      </c>
      <c r="S1" s="8" t="s">
        <v>68</v>
      </c>
      <c r="T1" s="8" t="s">
        <v>69</v>
      </c>
      <c r="U1" s="8" t="s">
        <v>70</v>
      </c>
      <c r="V1" s="8" t="s">
        <v>71</v>
      </c>
      <c r="W1" s="8" t="s">
        <v>72</v>
      </c>
      <c r="X1" s="8" t="s">
        <v>73</v>
      </c>
      <c r="Y1" s="8"/>
      <c r="Z1" s="8"/>
      <c r="AA1" s="8"/>
      <c r="AB1" s="8"/>
    </row>
    <row r="2" spans="1:32" ht="15.75" x14ac:dyDescent="0.25">
      <c r="A2" s="18" t="s">
        <v>16</v>
      </c>
      <c r="B2" s="6">
        <v>1</v>
      </c>
      <c r="C2" s="6">
        <v>1</v>
      </c>
      <c r="D2" s="6">
        <v>0</v>
      </c>
      <c r="E2" s="6">
        <v>0</v>
      </c>
      <c r="F2" s="6">
        <v>0</v>
      </c>
      <c r="G2" s="3">
        <v>97</v>
      </c>
      <c r="H2" s="7">
        <v>0</v>
      </c>
      <c r="I2" s="7">
        <v>1</v>
      </c>
      <c r="J2" s="9">
        <f t="shared" ref="J2:J31" si="0">H2+I2</f>
        <v>1</v>
      </c>
      <c r="K2" s="9">
        <f t="shared" ref="K2:K31" si="1">(C2+D2)*(H2+I2)</f>
        <v>1</v>
      </c>
      <c r="L2" s="9">
        <f>(E2+F2)*(H2+I2)</f>
        <v>0</v>
      </c>
      <c r="M2" s="9">
        <f>C2*H2</f>
        <v>0</v>
      </c>
      <c r="N2" s="9">
        <f t="shared" ref="N2:N31" si="2">D2*H2</f>
        <v>0</v>
      </c>
      <c r="O2" s="9">
        <f t="shared" ref="O2:O31" si="3">E2*H2</f>
        <v>0</v>
      </c>
      <c r="P2" s="9">
        <f t="shared" ref="P2:P31" si="4">F2*H2</f>
        <v>0</v>
      </c>
      <c r="Q2" s="17">
        <f>H2*G2*C2</f>
        <v>0</v>
      </c>
      <c r="R2" s="17">
        <f t="shared" ref="R2:R31" si="5">I2*G2*C2</f>
        <v>97</v>
      </c>
      <c r="S2" s="17">
        <f t="shared" ref="S2:S31" si="6">H2*G2*D2</f>
        <v>0</v>
      </c>
      <c r="T2" s="17">
        <f t="shared" ref="T2:T31" si="7">I2*G2*D2</f>
        <v>0</v>
      </c>
      <c r="U2" s="17">
        <f>H2*G2*E2</f>
        <v>0</v>
      </c>
      <c r="V2" s="17">
        <f>I2*G2*E2</f>
        <v>0</v>
      </c>
      <c r="W2" s="17">
        <f>H2*G2*F2</f>
        <v>0</v>
      </c>
      <c r="X2" s="17">
        <f t="shared" ref="X2:X31" si="8">I2*G2*F2</f>
        <v>0</v>
      </c>
      <c r="Y2" s="11"/>
      <c r="Z2" s="11"/>
      <c r="AA2" s="11"/>
      <c r="AB2" s="11"/>
      <c r="AC2" s="11"/>
      <c r="AD2" s="11"/>
      <c r="AE2" s="11"/>
      <c r="AF2" s="11"/>
    </row>
    <row r="3" spans="1:32" ht="14.25" customHeight="1" x14ac:dyDescent="0.25">
      <c r="A3" s="18" t="s">
        <v>21</v>
      </c>
      <c r="B3" s="6">
        <v>2</v>
      </c>
      <c r="C3" s="6">
        <v>1</v>
      </c>
      <c r="D3" s="6">
        <v>0</v>
      </c>
      <c r="E3" s="6">
        <v>0</v>
      </c>
      <c r="F3" s="6">
        <v>0</v>
      </c>
      <c r="G3" s="3">
        <v>92</v>
      </c>
      <c r="H3" s="7">
        <v>0</v>
      </c>
      <c r="I3" s="7">
        <v>0</v>
      </c>
      <c r="J3" s="9">
        <f t="shared" si="0"/>
        <v>0</v>
      </c>
      <c r="K3" s="9">
        <f t="shared" si="1"/>
        <v>0</v>
      </c>
      <c r="L3" s="9">
        <f t="shared" ref="L3:L31" si="9">(E3+F3)*(H3+I3)</f>
        <v>0</v>
      </c>
      <c r="M3" s="9">
        <f t="shared" ref="M3:M31" si="10">C3*H3</f>
        <v>0</v>
      </c>
      <c r="N3" s="9">
        <f t="shared" si="2"/>
        <v>0</v>
      </c>
      <c r="O3" s="9">
        <f t="shared" si="3"/>
        <v>0</v>
      </c>
      <c r="P3" s="9">
        <f t="shared" si="4"/>
        <v>0</v>
      </c>
      <c r="Q3" s="17">
        <f t="shared" ref="Q3:Q31" si="11">H3*G3*C3</f>
        <v>0</v>
      </c>
      <c r="R3" s="17">
        <f t="shared" si="5"/>
        <v>0</v>
      </c>
      <c r="S3" s="17">
        <f t="shared" si="6"/>
        <v>0</v>
      </c>
      <c r="T3" s="17">
        <f t="shared" si="7"/>
        <v>0</v>
      </c>
      <c r="U3" s="17">
        <f t="shared" ref="U3:U31" si="12">H3*G3*E3</f>
        <v>0</v>
      </c>
      <c r="V3" s="17">
        <f t="shared" ref="V3:V31" si="13">I3*G3*E3</f>
        <v>0</v>
      </c>
      <c r="W3" s="17">
        <f t="shared" ref="W3:W31" si="14">H3*G3*F3</f>
        <v>0</v>
      </c>
      <c r="X3" s="17">
        <f t="shared" si="8"/>
        <v>0</v>
      </c>
      <c r="Y3" s="11"/>
      <c r="Z3" s="11"/>
      <c r="AA3" s="11"/>
      <c r="AB3" s="11"/>
      <c r="AC3" s="11"/>
      <c r="AD3" s="11"/>
      <c r="AE3" s="11"/>
      <c r="AF3" s="11"/>
    </row>
    <row r="4" spans="1:32" ht="15.75" x14ac:dyDescent="0.25">
      <c r="A4" s="18" t="s">
        <v>39</v>
      </c>
      <c r="B4" s="6">
        <v>3</v>
      </c>
      <c r="C4" s="6">
        <v>1</v>
      </c>
      <c r="D4" s="6">
        <v>0</v>
      </c>
      <c r="E4" s="6">
        <v>0</v>
      </c>
      <c r="F4" s="6">
        <v>0</v>
      </c>
      <c r="G4" s="3">
        <v>106</v>
      </c>
      <c r="H4" s="7">
        <v>1</v>
      </c>
      <c r="I4" s="7">
        <v>0</v>
      </c>
      <c r="J4" s="9">
        <f t="shared" si="0"/>
        <v>1</v>
      </c>
      <c r="K4" s="9">
        <f t="shared" si="1"/>
        <v>1</v>
      </c>
      <c r="L4" s="9">
        <f t="shared" si="9"/>
        <v>0</v>
      </c>
      <c r="M4" s="9">
        <f t="shared" si="10"/>
        <v>1</v>
      </c>
      <c r="N4" s="9">
        <f t="shared" si="2"/>
        <v>0</v>
      </c>
      <c r="O4" s="9">
        <f t="shared" si="3"/>
        <v>0</v>
      </c>
      <c r="P4" s="9">
        <f t="shared" si="4"/>
        <v>0</v>
      </c>
      <c r="Q4" s="17">
        <f t="shared" si="11"/>
        <v>106</v>
      </c>
      <c r="R4" s="17">
        <f t="shared" si="5"/>
        <v>0</v>
      </c>
      <c r="S4" s="17">
        <f t="shared" si="6"/>
        <v>0</v>
      </c>
      <c r="T4" s="17">
        <f t="shared" si="7"/>
        <v>0</v>
      </c>
      <c r="U4" s="17">
        <f t="shared" si="12"/>
        <v>0</v>
      </c>
      <c r="V4" s="17">
        <f t="shared" si="13"/>
        <v>0</v>
      </c>
      <c r="W4" s="17">
        <f t="shared" si="14"/>
        <v>0</v>
      </c>
      <c r="X4" s="17">
        <f t="shared" si="8"/>
        <v>0</v>
      </c>
      <c r="Y4" s="11"/>
      <c r="Z4" s="11"/>
      <c r="AA4" s="11"/>
      <c r="AB4" s="11"/>
      <c r="AC4" s="11"/>
      <c r="AD4" s="11"/>
      <c r="AE4" s="11"/>
      <c r="AF4" s="11"/>
    </row>
    <row r="5" spans="1:32" ht="15.75" x14ac:dyDescent="0.25">
      <c r="A5" s="18" t="s">
        <v>40</v>
      </c>
      <c r="B5" s="6">
        <v>4</v>
      </c>
      <c r="C5" s="6">
        <v>1</v>
      </c>
      <c r="D5" s="6">
        <v>0</v>
      </c>
      <c r="E5" s="6">
        <v>0</v>
      </c>
      <c r="F5" s="6">
        <v>0</v>
      </c>
      <c r="G5" s="3">
        <v>61</v>
      </c>
      <c r="H5" s="7">
        <v>0</v>
      </c>
      <c r="I5" s="7">
        <v>0</v>
      </c>
      <c r="J5" s="9">
        <f t="shared" si="0"/>
        <v>0</v>
      </c>
      <c r="K5" s="9">
        <f t="shared" si="1"/>
        <v>0</v>
      </c>
      <c r="L5" s="9">
        <f t="shared" si="9"/>
        <v>0</v>
      </c>
      <c r="M5" s="9">
        <f t="shared" si="10"/>
        <v>0</v>
      </c>
      <c r="N5" s="9">
        <f t="shared" si="2"/>
        <v>0</v>
      </c>
      <c r="O5" s="9">
        <f t="shared" si="3"/>
        <v>0</v>
      </c>
      <c r="P5" s="9">
        <f t="shared" si="4"/>
        <v>0</v>
      </c>
      <c r="Q5" s="17">
        <f t="shared" si="11"/>
        <v>0</v>
      </c>
      <c r="R5" s="17">
        <f t="shared" si="5"/>
        <v>0</v>
      </c>
      <c r="S5" s="17">
        <f t="shared" si="6"/>
        <v>0</v>
      </c>
      <c r="T5" s="17">
        <f t="shared" si="7"/>
        <v>0</v>
      </c>
      <c r="U5" s="17">
        <f t="shared" si="12"/>
        <v>0</v>
      </c>
      <c r="V5" s="17">
        <f t="shared" si="13"/>
        <v>0</v>
      </c>
      <c r="W5" s="17">
        <f t="shared" si="14"/>
        <v>0</v>
      </c>
      <c r="X5" s="17">
        <f t="shared" si="8"/>
        <v>0</v>
      </c>
      <c r="Y5" s="11"/>
      <c r="Z5" s="11"/>
      <c r="AA5" s="11"/>
      <c r="AB5" s="11"/>
      <c r="AC5" s="11"/>
      <c r="AD5" s="11"/>
      <c r="AE5" s="11"/>
      <c r="AF5" s="11"/>
    </row>
    <row r="6" spans="1:32" ht="15.75" x14ac:dyDescent="0.25">
      <c r="A6" s="18" t="s">
        <v>41</v>
      </c>
      <c r="B6" s="6">
        <v>5</v>
      </c>
      <c r="C6" s="6">
        <v>1</v>
      </c>
      <c r="D6" s="6">
        <v>0</v>
      </c>
      <c r="E6" s="6">
        <v>0</v>
      </c>
      <c r="F6" s="6">
        <v>0</v>
      </c>
      <c r="G6" s="3">
        <v>95</v>
      </c>
      <c r="H6" s="7">
        <v>0</v>
      </c>
      <c r="I6" s="7">
        <v>1</v>
      </c>
      <c r="J6" s="9">
        <f t="shared" si="0"/>
        <v>1</v>
      </c>
      <c r="K6" s="9">
        <f t="shared" si="1"/>
        <v>1</v>
      </c>
      <c r="L6" s="9">
        <f t="shared" si="9"/>
        <v>0</v>
      </c>
      <c r="M6" s="9">
        <f t="shared" si="10"/>
        <v>0</v>
      </c>
      <c r="N6" s="9">
        <f t="shared" si="2"/>
        <v>0</v>
      </c>
      <c r="O6" s="9">
        <f t="shared" si="3"/>
        <v>0</v>
      </c>
      <c r="P6" s="9">
        <f t="shared" si="4"/>
        <v>0</v>
      </c>
      <c r="Q6" s="17">
        <f t="shared" si="11"/>
        <v>0</v>
      </c>
      <c r="R6" s="17">
        <f t="shared" si="5"/>
        <v>95</v>
      </c>
      <c r="S6" s="17">
        <f t="shared" si="6"/>
        <v>0</v>
      </c>
      <c r="T6" s="17">
        <f t="shared" si="7"/>
        <v>0</v>
      </c>
      <c r="U6" s="17">
        <f t="shared" si="12"/>
        <v>0</v>
      </c>
      <c r="V6" s="17">
        <f t="shared" si="13"/>
        <v>0</v>
      </c>
      <c r="W6" s="17">
        <f t="shared" si="14"/>
        <v>0</v>
      </c>
      <c r="X6" s="17">
        <f t="shared" si="8"/>
        <v>0</v>
      </c>
      <c r="Y6" s="11"/>
      <c r="Z6" s="11"/>
      <c r="AA6" s="11"/>
      <c r="AB6" s="11"/>
      <c r="AC6" s="11"/>
      <c r="AD6" s="11"/>
      <c r="AE6" s="11"/>
      <c r="AF6" s="11"/>
    </row>
    <row r="7" spans="1:32" ht="15.75" x14ac:dyDescent="0.25">
      <c r="A7" s="18" t="s">
        <v>9</v>
      </c>
      <c r="B7" s="6">
        <v>6</v>
      </c>
      <c r="C7" s="6">
        <v>1</v>
      </c>
      <c r="D7" s="6">
        <v>0</v>
      </c>
      <c r="E7" s="6">
        <v>0</v>
      </c>
      <c r="F7" s="6">
        <v>0</v>
      </c>
      <c r="G7" s="3">
        <v>99</v>
      </c>
      <c r="H7" s="7">
        <v>0</v>
      </c>
      <c r="I7" s="7">
        <v>1</v>
      </c>
      <c r="J7" s="9">
        <f t="shared" si="0"/>
        <v>1</v>
      </c>
      <c r="K7" s="9">
        <f t="shared" si="1"/>
        <v>1</v>
      </c>
      <c r="L7" s="9">
        <f t="shared" si="9"/>
        <v>0</v>
      </c>
      <c r="M7" s="9">
        <f t="shared" si="10"/>
        <v>0</v>
      </c>
      <c r="N7" s="9">
        <f t="shared" si="2"/>
        <v>0</v>
      </c>
      <c r="O7" s="9">
        <f t="shared" si="3"/>
        <v>0</v>
      </c>
      <c r="P7" s="9">
        <f t="shared" si="4"/>
        <v>0</v>
      </c>
      <c r="Q7" s="17">
        <f t="shared" si="11"/>
        <v>0</v>
      </c>
      <c r="R7" s="17">
        <f t="shared" si="5"/>
        <v>99</v>
      </c>
      <c r="S7" s="17">
        <f t="shared" si="6"/>
        <v>0</v>
      </c>
      <c r="T7" s="17">
        <f t="shared" si="7"/>
        <v>0</v>
      </c>
      <c r="U7" s="17">
        <f t="shared" si="12"/>
        <v>0</v>
      </c>
      <c r="V7" s="17">
        <f t="shared" si="13"/>
        <v>0</v>
      </c>
      <c r="W7" s="17">
        <f t="shared" si="14"/>
        <v>0</v>
      </c>
      <c r="X7" s="17">
        <f t="shared" si="8"/>
        <v>0</v>
      </c>
      <c r="Y7" s="11"/>
      <c r="Z7" s="11"/>
      <c r="AA7" s="11"/>
      <c r="AB7" s="11"/>
      <c r="AC7" s="11"/>
      <c r="AD7" s="11"/>
      <c r="AE7" s="11"/>
      <c r="AF7" s="11"/>
    </row>
    <row r="8" spans="1:32" ht="15.75" x14ac:dyDescent="0.25">
      <c r="A8" s="18" t="s">
        <v>42</v>
      </c>
      <c r="B8" s="6">
        <v>7</v>
      </c>
      <c r="C8" s="6">
        <v>1</v>
      </c>
      <c r="D8" s="6">
        <v>0</v>
      </c>
      <c r="E8" s="6">
        <v>0</v>
      </c>
      <c r="F8" s="6">
        <v>0</v>
      </c>
      <c r="G8" s="3">
        <v>99</v>
      </c>
      <c r="H8" s="7">
        <v>0</v>
      </c>
      <c r="I8" s="7">
        <v>1</v>
      </c>
      <c r="J8" s="9">
        <f t="shared" si="0"/>
        <v>1</v>
      </c>
      <c r="K8" s="9">
        <f t="shared" si="1"/>
        <v>1</v>
      </c>
      <c r="L8" s="9">
        <f t="shared" si="9"/>
        <v>0</v>
      </c>
      <c r="M8" s="9">
        <f t="shared" si="10"/>
        <v>0</v>
      </c>
      <c r="N8" s="9">
        <f t="shared" si="2"/>
        <v>0</v>
      </c>
      <c r="O8" s="9">
        <f t="shared" si="3"/>
        <v>0</v>
      </c>
      <c r="P8" s="9">
        <f t="shared" si="4"/>
        <v>0</v>
      </c>
      <c r="Q8" s="17">
        <f t="shared" si="11"/>
        <v>0</v>
      </c>
      <c r="R8" s="17">
        <f t="shared" si="5"/>
        <v>99</v>
      </c>
      <c r="S8" s="17">
        <f t="shared" si="6"/>
        <v>0</v>
      </c>
      <c r="T8" s="17">
        <f t="shared" si="7"/>
        <v>0</v>
      </c>
      <c r="U8" s="17">
        <f t="shared" si="12"/>
        <v>0</v>
      </c>
      <c r="V8" s="17">
        <f t="shared" si="13"/>
        <v>0</v>
      </c>
      <c r="W8" s="17">
        <f t="shared" si="14"/>
        <v>0</v>
      </c>
      <c r="X8" s="17">
        <f t="shared" si="8"/>
        <v>0</v>
      </c>
      <c r="Y8" s="11"/>
      <c r="Z8" s="11"/>
      <c r="AA8" s="11"/>
      <c r="AB8" s="11"/>
      <c r="AC8" s="11"/>
      <c r="AD8" s="11"/>
      <c r="AE8" s="11"/>
      <c r="AF8" s="11"/>
    </row>
    <row r="9" spans="1:32" ht="15.75" x14ac:dyDescent="0.25">
      <c r="A9" s="18" t="s">
        <v>0</v>
      </c>
      <c r="B9" s="6">
        <v>8</v>
      </c>
      <c r="C9" s="6">
        <v>1</v>
      </c>
      <c r="D9" s="6">
        <v>0</v>
      </c>
      <c r="E9" s="6">
        <v>0</v>
      </c>
      <c r="F9" s="6">
        <v>0</v>
      </c>
      <c r="G9" s="3">
        <v>108</v>
      </c>
      <c r="H9" s="7">
        <v>1</v>
      </c>
      <c r="I9" s="7">
        <v>0</v>
      </c>
      <c r="J9" s="9">
        <f t="shared" si="0"/>
        <v>1</v>
      </c>
      <c r="K9" s="9">
        <f t="shared" si="1"/>
        <v>1</v>
      </c>
      <c r="L9" s="9">
        <f t="shared" si="9"/>
        <v>0</v>
      </c>
      <c r="M9" s="9">
        <f t="shared" si="10"/>
        <v>1</v>
      </c>
      <c r="N9" s="9">
        <f t="shared" si="2"/>
        <v>0</v>
      </c>
      <c r="O9" s="9">
        <f t="shared" si="3"/>
        <v>0</v>
      </c>
      <c r="P9" s="9">
        <f t="shared" si="4"/>
        <v>0</v>
      </c>
      <c r="Q9" s="17">
        <f t="shared" si="11"/>
        <v>108</v>
      </c>
      <c r="R9" s="17">
        <f t="shared" si="5"/>
        <v>0</v>
      </c>
      <c r="S9" s="17">
        <f t="shared" si="6"/>
        <v>0</v>
      </c>
      <c r="T9" s="17">
        <f t="shared" si="7"/>
        <v>0</v>
      </c>
      <c r="U9" s="17">
        <f t="shared" si="12"/>
        <v>0</v>
      </c>
      <c r="V9" s="17">
        <f t="shared" si="13"/>
        <v>0</v>
      </c>
      <c r="W9" s="17">
        <f t="shared" si="14"/>
        <v>0</v>
      </c>
      <c r="X9" s="17">
        <f t="shared" si="8"/>
        <v>0</v>
      </c>
      <c r="Y9" s="11"/>
      <c r="Z9" s="11"/>
      <c r="AA9" s="11"/>
      <c r="AB9" s="11"/>
      <c r="AC9" s="11"/>
      <c r="AD9" s="11"/>
      <c r="AE9" s="11"/>
      <c r="AF9" s="11"/>
    </row>
    <row r="10" spans="1:32" ht="15" customHeight="1" x14ac:dyDescent="0.25">
      <c r="A10" s="19" t="s">
        <v>8</v>
      </c>
      <c r="B10" s="6">
        <v>9</v>
      </c>
      <c r="C10" s="6">
        <v>0</v>
      </c>
      <c r="D10" s="6">
        <v>1</v>
      </c>
      <c r="E10" s="6">
        <v>0</v>
      </c>
      <c r="F10" s="6">
        <v>0</v>
      </c>
      <c r="G10" s="3">
        <v>116</v>
      </c>
      <c r="H10" s="7">
        <v>1</v>
      </c>
      <c r="I10" s="7">
        <v>0</v>
      </c>
      <c r="J10" s="9">
        <f t="shared" si="0"/>
        <v>1</v>
      </c>
      <c r="K10" s="9">
        <f t="shared" si="1"/>
        <v>1</v>
      </c>
      <c r="L10" s="9">
        <f t="shared" si="9"/>
        <v>0</v>
      </c>
      <c r="M10" s="9">
        <f t="shared" si="10"/>
        <v>0</v>
      </c>
      <c r="N10" s="9">
        <f t="shared" si="2"/>
        <v>1</v>
      </c>
      <c r="O10" s="9">
        <f t="shared" si="3"/>
        <v>0</v>
      </c>
      <c r="P10" s="9">
        <f t="shared" si="4"/>
        <v>0</v>
      </c>
      <c r="Q10" s="15">
        <f t="shared" si="11"/>
        <v>0</v>
      </c>
      <c r="R10" s="15">
        <f t="shared" si="5"/>
        <v>0</v>
      </c>
      <c r="S10" s="15">
        <f t="shared" si="6"/>
        <v>116</v>
      </c>
      <c r="T10" s="15">
        <f t="shared" si="7"/>
        <v>0</v>
      </c>
      <c r="U10" s="15">
        <f t="shared" si="12"/>
        <v>0</v>
      </c>
      <c r="V10" s="15">
        <f t="shared" si="13"/>
        <v>0</v>
      </c>
      <c r="W10" s="15">
        <f t="shared" si="14"/>
        <v>0</v>
      </c>
      <c r="X10" s="15">
        <f t="shared" si="8"/>
        <v>0</v>
      </c>
      <c r="Y10" s="11"/>
      <c r="Z10" s="11"/>
      <c r="AA10" s="11"/>
      <c r="AB10" s="11"/>
      <c r="AC10" s="11"/>
      <c r="AD10" s="11"/>
      <c r="AE10" s="11"/>
      <c r="AF10" s="11"/>
    </row>
    <row r="11" spans="1:32" ht="15.75" x14ac:dyDescent="0.25">
      <c r="A11" s="19" t="s">
        <v>17</v>
      </c>
      <c r="B11" s="6">
        <v>10</v>
      </c>
      <c r="C11" s="6">
        <v>0</v>
      </c>
      <c r="D11" s="6">
        <v>1</v>
      </c>
      <c r="E11" s="6">
        <v>0</v>
      </c>
      <c r="F11" s="6">
        <v>0</v>
      </c>
      <c r="G11" s="3">
        <v>91</v>
      </c>
      <c r="H11" s="7">
        <v>0</v>
      </c>
      <c r="I11" s="7">
        <v>0</v>
      </c>
      <c r="J11" s="9">
        <f t="shared" si="0"/>
        <v>0</v>
      </c>
      <c r="K11" s="9">
        <f t="shared" si="1"/>
        <v>0</v>
      </c>
      <c r="L11" s="9">
        <f t="shared" si="9"/>
        <v>0</v>
      </c>
      <c r="M11" s="9">
        <f t="shared" si="10"/>
        <v>0</v>
      </c>
      <c r="N11" s="9">
        <f t="shared" si="2"/>
        <v>0</v>
      </c>
      <c r="O11" s="9">
        <f t="shared" si="3"/>
        <v>0</v>
      </c>
      <c r="P11" s="9">
        <f t="shared" si="4"/>
        <v>0</v>
      </c>
      <c r="Q11" s="15">
        <f t="shared" si="11"/>
        <v>0</v>
      </c>
      <c r="R11" s="15">
        <f t="shared" si="5"/>
        <v>0</v>
      </c>
      <c r="S11" s="15">
        <f t="shared" si="6"/>
        <v>0</v>
      </c>
      <c r="T11" s="15">
        <f t="shared" si="7"/>
        <v>0</v>
      </c>
      <c r="U11" s="15">
        <f t="shared" si="12"/>
        <v>0</v>
      </c>
      <c r="V11" s="15">
        <f t="shared" si="13"/>
        <v>0</v>
      </c>
      <c r="W11" s="15">
        <f t="shared" si="14"/>
        <v>0</v>
      </c>
      <c r="X11" s="15">
        <f t="shared" si="8"/>
        <v>0</v>
      </c>
      <c r="Y11" s="11"/>
      <c r="Z11" s="11"/>
      <c r="AA11" s="11"/>
      <c r="AB11" s="11"/>
      <c r="AC11" s="11"/>
      <c r="AD11" s="11"/>
      <c r="AE11" s="11"/>
      <c r="AF11" s="11"/>
    </row>
    <row r="12" spans="1:32" ht="15.75" x14ac:dyDescent="0.25">
      <c r="A12" s="19" t="s">
        <v>11</v>
      </c>
      <c r="B12" s="6">
        <v>11</v>
      </c>
      <c r="C12" s="6">
        <v>0</v>
      </c>
      <c r="D12" s="6">
        <v>1</v>
      </c>
      <c r="E12" s="6">
        <v>0</v>
      </c>
      <c r="F12" s="6">
        <v>0</v>
      </c>
      <c r="G12" s="3">
        <v>112</v>
      </c>
      <c r="H12" s="7">
        <v>1</v>
      </c>
      <c r="I12" s="7">
        <v>0</v>
      </c>
      <c r="J12" s="9">
        <f t="shared" si="0"/>
        <v>1</v>
      </c>
      <c r="K12" s="9">
        <f t="shared" si="1"/>
        <v>1</v>
      </c>
      <c r="L12" s="9">
        <f t="shared" si="9"/>
        <v>0</v>
      </c>
      <c r="M12" s="9">
        <f t="shared" si="10"/>
        <v>0</v>
      </c>
      <c r="N12" s="9">
        <f t="shared" si="2"/>
        <v>1</v>
      </c>
      <c r="O12" s="9">
        <f t="shared" si="3"/>
        <v>0</v>
      </c>
      <c r="P12" s="9">
        <f t="shared" si="4"/>
        <v>0</v>
      </c>
      <c r="Q12" s="15">
        <f t="shared" si="11"/>
        <v>0</v>
      </c>
      <c r="R12" s="15">
        <f t="shared" si="5"/>
        <v>0</v>
      </c>
      <c r="S12" s="15">
        <f t="shared" si="6"/>
        <v>112</v>
      </c>
      <c r="T12" s="15">
        <f t="shared" si="7"/>
        <v>0</v>
      </c>
      <c r="U12" s="15">
        <f t="shared" si="12"/>
        <v>0</v>
      </c>
      <c r="V12" s="15">
        <f t="shared" si="13"/>
        <v>0</v>
      </c>
      <c r="W12" s="15">
        <f t="shared" si="14"/>
        <v>0</v>
      </c>
      <c r="X12" s="15">
        <f t="shared" si="8"/>
        <v>0</v>
      </c>
      <c r="Y12" s="11"/>
      <c r="Z12" s="11"/>
      <c r="AA12" s="11"/>
      <c r="AB12" s="11"/>
      <c r="AC12" s="11"/>
      <c r="AD12" s="11"/>
      <c r="AE12" s="11"/>
      <c r="AF12" s="11"/>
    </row>
    <row r="13" spans="1:32" ht="15.75" x14ac:dyDescent="0.25">
      <c r="A13" s="19" t="s">
        <v>3</v>
      </c>
      <c r="B13" s="6">
        <v>12</v>
      </c>
      <c r="C13" s="6">
        <v>0</v>
      </c>
      <c r="D13" s="6">
        <v>1</v>
      </c>
      <c r="E13" s="6">
        <v>0</v>
      </c>
      <c r="F13" s="6">
        <v>0</v>
      </c>
      <c r="G13" s="3">
        <v>93</v>
      </c>
      <c r="H13" s="7">
        <v>0</v>
      </c>
      <c r="I13" s="7">
        <v>0</v>
      </c>
      <c r="J13" s="9">
        <f t="shared" si="0"/>
        <v>0</v>
      </c>
      <c r="K13" s="9">
        <f t="shared" si="1"/>
        <v>0</v>
      </c>
      <c r="L13" s="9">
        <f t="shared" si="9"/>
        <v>0</v>
      </c>
      <c r="M13" s="9">
        <f t="shared" si="10"/>
        <v>0</v>
      </c>
      <c r="N13" s="9">
        <f t="shared" si="2"/>
        <v>0</v>
      </c>
      <c r="O13" s="9">
        <f t="shared" si="3"/>
        <v>0</v>
      </c>
      <c r="P13" s="9">
        <f t="shared" si="4"/>
        <v>0</v>
      </c>
      <c r="Q13" s="15">
        <f t="shared" si="11"/>
        <v>0</v>
      </c>
      <c r="R13" s="15">
        <f t="shared" si="5"/>
        <v>0</v>
      </c>
      <c r="S13" s="15">
        <f t="shared" si="6"/>
        <v>0</v>
      </c>
      <c r="T13" s="15">
        <f t="shared" si="7"/>
        <v>0</v>
      </c>
      <c r="U13" s="15">
        <f t="shared" si="12"/>
        <v>0</v>
      </c>
      <c r="V13" s="15">
        <f t="shared" si="13"/>
        <v>0</v>
      </c>
      <c r="W13" s="15">
        <f t="shared" si="14"/>
        <v>0</v>
      </c>
      <c r="X13" s="15">
        <f t="shared" si="8"/>
        <v>0</v>
      </c>
      <c r="Y13" s="11"/>
      <c r="Z13" s="11"/>
      <c r="AA13" s="11"/>
      <c r="AB13" s="11"/>
      <c r="AC13" s="11"/>
      <c r="AD13" s="11"/>
      <c r="AE13" s="11"/>
      <c r="AF13" s="11"/>
    </row>
    <row r="14" spans="1:32" ht="15.75" x14ac:dyDescent="0.25">
      <c r="A14" s="19" t="s">
        <v>15</v>
      </c>
      <c r="B14" s="6">
        <v>13</v>
      </c>
      <c r="C14" s="6">
        <v>0</v>
      </c>
      <c r="D14" s="6">
        <v>1</v>
      </c>
      <c r="E14" s="6">
        <v>0</v>
      </c>
      <c r="F14" s="6">
        <v>0</v>
      </c>
      <c r="G14" s="3">
        <v>93</v>
      </c>
      <c r="H14" s="7">
        <v>0</v>
      </c>
      <c r="I14" s="7">
        <v>0</v>
      </c>
      <c r="J14" s="9">
        <f t="shared" si="0"/>
        <v>0</v>
      </c>
      <c r="K14" s="9">
        <f t="shared" si="1"/>
        <v>0</v>
      </c>
      <c r="L14" s="9">
        <f t="shared" si="9"/>
        <v>0</v>
      </c>
      <c r="M14" s="9">
        <f t="shared" si="10"/>
        <v>0</v>
      </c>
      <c r="N14" s="9">
        <f t="shared" si="2"/>
        <v>0</v>
      </c>
      <c r="O14" s="9">
        <f t="shared" si="3"/>
        <v>0</v>
      </c>
      <c r="P14" s="9">
        <f t="shared" si="4"/>
        <v>0</v>
      </c>
      <c r="Q14" s="15">
        <f t="shared" si="11"/>
        <v>0</v>
      </c>
      <c r="R14" s="15">
        <f t="shared" si="5"/>
        <v>0</v>
      </c>
      <c r="S14" s="15">
        <f t="shared" si="6"/>
        <v>0</v>
      </c>
      <c r="T14" s="15">
        <f t="shared" si="7"/>
        <v>0</v>
      </c>
      <c r="U14" s="15">
        <f t="shared" si="12"/>
        <v>0</v>
      </c>
      <c r="V14" s="15">
        <f t="shared" si="13"/>
        <v>0</v>
      </c>
      <c r="W14" s="15">
        <f t="shared" si="14"/>
        <v>0</v>
      </c>
      <c r="X14" s="15">
        <f t="shared" si="8"/>
        <v>0</v>
      </c>
      <c r="Y14" s="11"/>
      <c r="Z14" s="11"/>
      <c r="AA14" s="11"/>
      <c r="AB14" s="11"/>
      <c r="AC14" s="11"/>
      <c r="AD14" s="11"/>
      <c r="AE14" s="11"/>
      <c r="AF14" s="11"/>
    </row>
    <row r="15" spans="1:32" ht="15.75" x14ac:dyDescent="0.25">
      <c r="A15" s="19" t="s">
        <v>14</v>
      </c>
      <c r="B15" s="6">
        <v>14</v>
      </c>
      <c r="C15" s="6">
        <v>0</v>
      </c>
      <c r="D15" s="6">
        <v>1</v>
      </c>
      <c r="E15" s="6">
        <v>0</v>
      </c>
      <c r="F15" s="6">
        <v>0</v>
      </c>
      <c r="G15" s="3">
        <v>83</v>
      </c>
      <c r="H15" s="7">
        <v>0</v>
      </c>
      <c r="I15" s="7">
        <v>0</v>
      </c>
      <c r="J15" s="9">
        <f t="shared" si="0"/>
        <v>0</v>
      </c>
      <c r="K15" s="9">
        <f t="shared" si="1"/>
        <v>0</v>
      </c>
      <c r="L15" s="9">
        <f t="shared" si="9"/>
        <v>0</v>
      </c>
      <c r="M15" s="9">
        <f t="shared" si="10"/>
        <v>0</v>
      </c>
      <c r="N15" s="9">
        <f t="shared" si="2"/>
        <v>0</v>
      </c>
      <c r="O15" s="9">
        <f t="shared" si="3"/>
        <v>0</v>
      </c>
      <c r="P15" s="9">
        <f t="shared" si="4"/>
        <v>0</v>
      </c>
      <c r="Q15" s="15">
        <f t="shared" si="11"/>
        <v>0</v>
      </c>
      <c r="R15" s="15">
        <f t="shared" si="5"/>
        <v>0</v>
      </c>
      <c r="S15" s="15">
        <f t="shared" si="6"/>
        <v>0</v>
      </c>
      <c r="T15" s="15">
        <f t="shared" si="7"/>
        <v>0</v>
      </c>
      <c r="U15" s="15">
        <f t="shared" si="12"/>
        <v>0</v>
      </c>
      <c r="V15" s="15">
        <f t="shared" si="13"/>
        <v>0</v>
      </c>
      <c r="W15" s="15">
        <f t="shared" si="14"/>
        <v>0</v>
      </c>
      <c r="X15" s="15">
        <f t="shared" si="8"/>
        <v>0</v>
      </c>
      <c r="Y15" s="11"/>
      <c r="Z15" s="11"/>
      <c r="AA15" s="11"/>
      <c r="AB15" s="11"/>
      <c r="AC15" s="11"/>
      <c r="AD15" s="11"/>
      <c r="AE15" s="11"/>
      <c r="AF15" s="11"/>
    </row>
    <row r="16" spans="1:32" ht="15.75" x14ac:dyDescent="0.25">
      <c r="A16" s="19" t="s">
        <v>7</v>
      </c>
      <c r="B16" s="6">
        <v>15</v>
      </c>
      <c r="C16" s="6">
        <v>0</v>
      </c>
      <c r="D16" s="6">
        <v>1</v>
      </c>
      <c r="E16" s="6">
        <v>0</v>
      </c>
      <c r="F16" s="6">
        <v>0</v>
      </c>
      <c r="G16" s="3">
        <v>66</v>
      </c>
      <c r="H16" s="7">
        <v>0</v>
      </c>
      <c r="I16" s="7">
        <v>0</v>
      </c>
      <c r="J16" s="9">
        <f t="shared" si="0"/>
        <v>0</v>
      </c>
      <c r="K16" s="9">
        <f t="shared" si="1"/>
        <v>0</v>
      </c>
      <c r="L16" s="9">
        <f t="shared" si="9"/>
        <v>0</v>
      </c>
      <c r="M16" s="9">
        <f t="shared" si="10"/>
        <v>0</v>
      </c>
      <c r="N16" s="9">
        <f t="shared" si="2"/>
        <v>0</v>
      </c>
      <c r="O16" s="9">
        <f t="shared" si="3"/>
        <v>0</v>
      </c>
      <c r="P16" s="9">
        <f t="shared" si="4"/>
        <v>0</v>
      </c>
      <c r="Q16" s="15">
        <f t="shared" si="11"/>
        <v>0</v>
      </c>
      <c r="R16" s="15">
        <f t="shared" si="5"/>
        <v>0</v>
      </c>
      <c r="S16" s="15">
        <f t="shared" si="6"/>
        <v>0</v>
      </c>
      <c r="T16" s="15">
        <f t="shared" si="7"/>
        <v>0</v>
      </c>
      <c r="U16" s="15">
        <f t="shared" si="12"/>
        <v>0</v>
      </c>
      <c r="V16" s="15">
        <f t="shared" si="13"/>
        <v>0</v>
      </c>
      <c r="W16" s="15">
        <f t="shared" si="14"/>
        <v>0</v>
      </c>
      <c r="X16" s="15">
        <f t="shared" si="8"/>
        <v>0</v>
      </c>
      <c r="Y16" s="11"/>
      <c r="Z16" s="11"/>
      <c r="AA16" s="11"/>
      <c r="AB16" s="11"/>
      <c r="AC16" s="11"/>
      <c r="AD16" s="11"/>
      <c r="AE16" s="11"/>
      <c r="AF16" s="11"/>
    </row>
    <row r="17" spans="1:32" ht="15.75" x14ac:dyDescent="0.25">
      <c r="A17" s="19" t="s">
        <v>24</v>
      </c>
      <c r="B17" s="6">
        <v>16</v>
      </c>
      <c r="C17" s="6">
        <v>0</v>
      </c>
      <c r="D17" s="6">
        <v>1</v>
      </c>
      <c r="E17" s="6">
        <v>0</v>
      </c>
      <c r="F17" s="6">
        <v>0</v>
      </c>
      <c r="G17" s="3">
        <v>81</v>
      </c>
      <c r="H17" s="7">
        <v>0</v>
      </c>
      <c r="I17" s="7">
        <v>0</v>
      </c>
      <c r="J17" s="9">
        <f t="shared" si="0"/>
        <v>0</v>
      </c>
      <c r="K17" s="9">
        <f t="shared" si="1"/>
        <v>0</v>
      </c>
      <c r="L17" s="9">
        <f t="shared" si="9"/>
        <v>0</v>
      </c>
      <c r="M17" s="9">
        <f t="shared" si="10"/>
        <v>0</v>
      </c>
      <c r="N17" s="9">
        <f t="shared" si="2"/>
        <v>0</v>
      </c>
      <c r="O17" s="9">
        <f t="shared" si="3"/>
        <v>0</v>
      </c>
      <c r="P17" s="9">
        <f t="shared" si="4"/>
        <v>0</v>
      </c>
      <c r="Q17" s="15">
        <f t="shared" si="11"/>
        <v>0</v>
      </c>
      <c r="R17" s="15">
        <f t="shared" si="5"/>
        <v>0</v>
      </c>
      <c r="S17" s="15">
        <f t="shared" si="6"/>
        <v>0</v>
      </c>
      <c r="T17" s="15">
        <f t="shared" si="7"/>
        <v>0</v>
      </c>
      <c r="U17" s="15">
        <f t="shared" si="12"/>
        <v>0</v>
      </c>
      <c r="V17" s="15">
        <f t="shared" si="13"/>
        <v>0</v>
      </c>
      <c r="W17" s="15">
        <f t="shared" si="14"/>
        <v>0</v>
      </c>
      <c r="X17" s="15">
        <f t="shared" si="8"/>
        <v>0</v>
      </c>
      <c r="Y17" s="11"/>
      <c r="Z17" s="11"/>
      <c r="AA17" s="11"/>
      <c r="AB17" s="11"/>
      <c r="AC17" s="11"/>
      <c r="AD17" s="11"/>
      <c r="AE17" s="11"/>
      <c r="AF17" s="11"/>
    </row>
    <row r="18" spans="1:32" ht="15.75" x14ac:dyDescent="0.25">
      <c r="A18" s="20" t="s">
        <v>4</v>
      </c>
      <c r="B18" s="6">
        <v>17</v>
      </c>
      <c r="C18" s="6">
        <v>0</v>
      </c>
      <c r="D18" s="6">
        <v>0</v>
      </c>
      <c r="E18" s="6">
        <v>1</v>
      </c>
      <c r="F18" s="6">
        <v>0</v>
      </c>
      <c r="G18" s="3">
        <v>104</v>
      </c>
      <c r="H18" s="7">
        <v>1</v>
      </c>
      <c r="I18" s="7">
        <v>0</v>
      </c>
      <c r="J18" s="9">
        <f t="shared" si="0"/>
        <v>1</v>
      </c>
      <c r="K18" s="9">
        <f t="shared" si="1"/>
        <v>0</v>
      </c>
      <c r="L18" s="9">
        <f t="shared" si="9"/>
        <v>1</v>
      </c>
      <c r="M18" s="9">
        <f t="shared" si="10"/>
        <v>0</v>
      </c>
      <c r="N18" s="9">
        <f t="shared" si="2"/>
        <v>0</v>
      </c>
      <c r="O18" s="9">
        <f t="shared" si="3"/>
        <v>1</v>
      </c>
      <c r="P18" s="9">
        <f t="shared" si="4"/>
        <v>0</v>
      </c>
      <c r="Q18" s="16">
        <f t="shared" si="11"/>
        <v>0</v>
      </c>
      <c r="R18" s="16">
        <f t="shared" si="5"/>
        <v>0</v>
      </c>
      <c r="S18" s="16">
        <f t="shared" si="6"/>
        <v>0</v>
      </c>
      <c r="T18" s="16">
        <f t="shared" si="7"/>
        <v>0</v>
      </c>
      <c r="U18" s="16">
        <f t="shared" si="12"/>
        <v>104</v>
      </c>
      <c r="V18" s="16">
        <f t="shared" si="13"/>
        <v>0</v>
      </c>
      <c r="W18" s="16">
        <f t="shared" si="14"/>
        <v>0</v>
      </c>
      <c r="X18" s="16">
        <f t="shared" si="8"/>
        <v>0</v>
      </c>
      <c r="Y18" s="11"/>
      <c r="Z18" s="11"/>
      <c r="AA18" s="11"/>
      <c r="AB18" s="11"/>
      <c r="AC18" s="11"/>
      <c r="AD18" s="11"/>
      <c r="AE18" s="11"/>
      <c r="AF18" s="11"/>
    </row>
    <row r="19" spans="1:32" ht="15.75" x14ac:dyDescent="0.25">
      <c r="A19" s="20" t="s">
        <v>12</v>
      </c>
      <c r="B19" s="6">
        <v>18</v>
      </c>
      <c r="C19" s="6">
        <v>0</v>
      </c>
      <c r="D19" s="6">
        <v>0</v>
      </c>
      <c r="E19" s="6">
        <v>1</v>
      </c>
      <c r="F19" s="6">
        <v>0</v>
      </c>
      <c r="G19" s="3">
        <v>69</v>
      </c>
      <c r="H19" s="7">
        <v>0</v>
      </c>
      <c r="I19" s="7">
        <v>0</v>
      </c>
      <c r="J19" s="9">
        <f t="shared" si="0"/>
        <v>0</v>
      </c>
      <c r="K19" s="9">
        <f t="shared" si="1"/>
        <v>0</v>
      </c>
      <c r="L19" s="9">
        <f t="shared" si="9"/>
        <v>0</v>
      </c>
      <c r="M19" s="9">
        <f t="shared" si="10"/>
        <v>0</v>
      </c>
      <c r="N19" s="9">
        <f t="shared" si="2"/>
        <v>0</v>
      </c>
      <c r="O19" s="9">
        <f t="shared" si="3"/>
        <v>0</v>
      </c>
      <c r="P19" s="9">
        <f t="shared" si="4"/>
        <v>0</v>
      </c>
      <c r="Q19" s="16">
        <f t="shared" si="11"/>
        <v>0</v>
      </c>
      <c r="R19" s="16">
        <f t="shared" si="5"/>
        <v>0</v>
      </c>
      <c r="S19" s="16">
        <f t="shared" si="6"/>
        <v>0</v>
      </c>
      <c r="T19" s="16">
        <f t="shared" si="7"/>
        <v>0</v>
      </c>
      <c r="U19" s="16">
        <f t="shared" si="12"/>
        <v>0</v>
      </c>
      <c r="V19" s="16">
        <f t="shared" si="13"/>
        <v>0</v>
      </c>
      <c r="W19" s="16">
        <f t="shared" si="14"/>
        <v>0</v>
      </c>
      <c r="X19" s="16">
        <f t="shared" si="8"/>
        <v>0</v>
      </c>
      <c r="Y19" s="11"/>
      <c r="Z19" s="11"/>
      <c r="AA19" s="11"/>
      <c r="AB19" s="11"/>
      <c r="AC19" s="11"/>
      <c r="AD19" s="11"/>
      <c r="AE19" s="11"/>
      <c r="AF19" s="11"/>
    </row>
    <row r="20" spans="1:32" ht="15.75" x14ac:dyDescent="0.25">
      <c r="A20" s="20" t="s">
        <v>1</v>
      </c>
      <c r="B20" s="6">
        <v>19</v>
      </c>
      <c r="C20" s="6">
        <v>0</v>
      </c>
      <c r="D20" s="6">
        <v>0</v>
      </c>
      <c r="E20" s="6">
        <v>1</v>
      </c>
      <c r="F20" s="6">
        <v>0</v>
      </c>
      <c r="G20" s="3">
        <v>83</v>
      </c>
      <c r="H20" s="7">
        <v>0</v>
      </c>
      <c r="I20" s="7">
        <v>0</v>
      </c>
      <c r="J20" s="9">
        <f t="shared" si="0"/>
        <v>0</v>
      </c>
      <c r="K20" s="9">
        <f t="shared" si="1"/>
        <v>0</v>
      </c>
      <c r="L20" s="9">
        <f t="shared" si="9"/>
        <v>0</v>
      </c>
      <c r="M20" s="9">
        <f t="shared" si="10"/>
        <v>0</v>
      </c>
      <c r="N20" s="9">
        <f t="shared" si="2"/>
        <v>0</v>
      </c>
      <c r="O20" s="9">
        <f t="shared" si="3"/>
        <v>0</v>
      </c>
      <c r="P20" s="9">
        <f t="shared" si="4"/>
        <v>0</v>
      </c>
      <c r="Q20" s="16">
        <f t="shared" si="11"/>
        <v>0</v>
      </c>
      <c r="R20" s="16">
        <f t="shared" si="5"/>
        <v>0</v>
      </c>
      <c r="S20" s="16">
        <f t="shared" si="6"/>
        <v>0</v>
      </c>
      <c r="T20" s="16">
        <f t="shared" si="7"/>
        <v>0</v>
      </c>
      <c r="U20" s="16">
        <f t="shared" si="12"/>
        <v>0</v>
      </c>
      <c r="V20" s="16">
        <f t="shared" si="13"/>
        <v>0</v>
      </c>
      <c r="W20" s="16">
        <f t="shared" si="14"/>
        <v>0</v>
      </c>
      <c r="X20" s="16">
        <f t="shared" si="8"/>
        <v>0</v>
      </c>
      <c r="Y20" s="11"/>
      <c r="Z20" s="11"/>
      <c r="AA20" s="11"/>
      <c r="AB20" s="11"/>
      <c r="AC20" s="11"/>
      <c r="AD20" s="11"/>
      <c r="AE20" s="11"/>
      <c r="AF20" s="11"/>
    </row>
    <row r="21" spans="1:32" ht="15.75" x14ac:dyDescent="0.25">
      <c r="A21" s="20" t="s">
        <v>13</v>
      </c>
      <c r="B21" s="6">
        <v>20</v>
      </c>
      <c r="C21" s="6">
        <v>0</v>
      </c>
      <c r="D21" s="6">
        <v>0</v>
      </c>
      <c r="E21" s="6">
        <v>1</v>
      </c>
      <c r="F21" s="6">
        <v>0</v>
      </c>
      <c r="G21" s="3">
        <v>89</v>
      </c>
      <c r="H21" s="7">
        <v>0</v>
      </c>
      <c r="I21" s="7">
        <v>1</v>
      </c>
      <c r="J21" s="9">
        <f t="shared" si="0"/>
        <v>1</v>
      </c>
      <c r="K21" s="9">
        <f t="shared" si="1"/>
        <v>0</v>
      </c>
      <c r="L21" s="9">
        <f t="shared" si="9"/>
        <v>1</v>
      </c>
      <c r="M21" s="9">
        <f t="shared" si="10"/>
        <v>0</v>
      </c>
      <c r="N21" s="9">
        <f t="shared" si="2"/>
        <v>0</v>
      </c>
      <c r="O21" s="9">
        <f t="shared" si="3"/>
        <v>0</v>
      </c>
      <c r="P21" s="9">
        <f t="shared" si="4"/>
        <v>0</v>
      </c>
      <c r="Q21" s="16">
        <f t="shared" si="11"/>
        <v>0</v>
      </c>
      <c r="R21" s="16">
        <f t="shared" si="5"/>
        <v>0</v>
      </c>
      <c r="S21" s="16">
        <f t="shared" si="6"/>
        <v>0</v>
      </c>
      <c r="T21" s="16">
        <f t="shared" si="7"/>
        <v>0</v>
      </c>
      <c r="U21" s="16">
        <f t="shared" si="12"/>
        <v>0</v>
      </c>
      <c r="V21" s="16">
        <f t="shared" si="13"/>
        <v>89</v>
      </c>
      <c r="W21" s="16">
        <f t="shared" si="14"/>
        <v>0</v>
      </c>
      <c r="X21" s="16">
        <f t="shared" si="8"/>
        <v>0</v>
      </c>
      <c r="Y21" s="11"/>
      <c r="Z21" s="11"/>
      <c r="AA21" s="11"/>
      <c r="AB21" s="11"/>
      <c r="AC21" s="11"/>
      <c r="AD21" s="11"/>
      <c r="AE21" s="11"/>
      <c r="AF21" s="11"/>
    </row>
    <row r="22" spans="1:32" ht="15.75" x14ac:dyDescent="0.25">
      <c r="A22" s="20" t="s">
        <v>10</v>
      </c>
      <c r="B22" s="6">
        <v>21</v>
      </c>
      <c r="C22" s="6">
        <v>0</v>
      </c>
      <c r="D22" s="6">
        <v>0</v>
      </c>
      <c r="E22" s="6">
        <v>1</v>
      </c>
      <c r="F22" s="6">
        <v>0</v>
      </c>
      <c r="G22" s="3">
        <v>88</v>
      </c>
      <c r="H22" s="7">
        <v>0</v>
      </c>
      <c r="I22" s="7">
        <v>1</v>
      </c>
      <c r="J22" s="9">
        <f t="shared" si="0"/>
        <v>1</v>
      </c>
      <c r="K22" s="9">
        <f t="shared" si="1"/>
        <v>0</v>
      </c>
      <c r="L22" s="9">
        <f t="shared" si="9"/>
        <v>1</v>
      </c>
      <c r="M22" s="9">
        <f t="shared" si="10"/>
        <v>0</v>
      </c>
      <c r="N22" s="9">
        <f t="shared" si="2"/>
        <v>0</v>
      </c>
      <c r="O22" s="9">
        <f t="shared" si="3"/>
        <v>0</v>
      </c>
      <c r="P22" s="9">
        <f t="shared" si="4"/>
        <v>0</v>
      </c>
      <c r="Q22" s="16">
        <f t="shared" si="11"/>
        <v>0</v>
      </c>
      <c r="R22" s="16">
        <f t="shared" si="5"/>
        <v>0</v>
      </c>
      <c r="S22" s="16">
        <f t="shared" si="6"/>
        <v>0</v>
      </c>
      <c r="T22" s="16">
        <f t="shared" si="7"/>
        <v>0</v>
      </c>
      <c r="U22" s="16">
        <f t="shared" si="12"/>
        <v>0</v>
      </c>
      <c r="V22" s="16">
        <f t="shared" si="13"/>
        <v>88</v>
      </c>
      <c r="W22" s="16">
        <f t="shared" si="14"/>
        <v>0</v>
      </c>
      <c r="X22" s="16">
        <f t="shared" si="8"/>
        <v>0</v>
      </c>
      <c r="Y22" s="11"/>
      <c r="Z22" s="11"/>
      <c r="AA22" s="11"/>
      <c r="AB22" s="11"/>
      <c r="AC22" s="11"/>
      <c r="AD22" s="11"/>
      <c r="AE22" s="11"/>
      <c r="AF22" s="11"/>
    </row>
    <row r="23" spans="1:32" ht="15.75" x14ac:dyDescent="0.25">
      <c r="A23" s="20" t="s">
        <v>2</v>
      </c>
      <c r="B23" s="6">
        <v>22</v>
      </c>
      <c r="C23" s="6">
        <v>0</v>
      </c>
      <c r="D23" s="6">
        <v>0</v>
      </c>
      <c r="E23" s="6">
        <v>1</v>
      </c>
      <c r="F23" s="6">
        <v>0</v>
      </c>
      <c r="G23" s="3">
        <v>92</v>
      </c>
      <c r="H23" s="7">
        <v>1</v>
      </c>
      <c r="I23" s="7">
        <v>0</v>
      </c>
      <c r="J23" s="9">
        <f t="shared" si="0"/>
        <v>1</v>
      </c>
      <c r="K23" s="9">
        <f t="shared" si="1"/>
        <v>0</v>
      </c>
      <c r="L23" s="9">
        <f t="shared" si="9"/>
        <v>1</v>
      </c>
      <c r="M23" s="9">
        <f t="shared" si="10"/>
        <v>0</v>
      </c>
      <c r="N23" s="9">
        <f t="shared" si="2"/>
        <v>0</v>
      </c>
      <c r="O23" s="9">
        <f t="shared" si="3"/>
        <v>1</v>
      </c>
      <c r="P23" s="9">
        <f t="shared" si="4"/>
        <v>0</v>
      </c>
      <c r="Q23" s="16">
        <f t="shared" si="11"/>
        <v>0</v>
      </c>
      <c r="R23" s="16">
        <f t="shared" si="5"/>
        <v>0</v>
      </c>
      <c r="S23" s="16">
        <f t="shared" si="6"/>
        <v>0</v>
      </c>
      <c r="T23" s="16">
        <f t="shared" si="7"/>
        <v>0</v>
      </c>
      <c r="U23" s="16">
        <f t="shared" si="12"/>
        <v>92</v>
      </c>
      <c r="V23" s="16">
        <f t="shared" si="13"/>
        <v>0</v>
      </c>
      <c r="W23" s="16">
        <f t="shared" si="14"/>
        <v>0</v>
      </c>
      <c r="X23" s="16">
        <f t="shared" si="8"/>
        <v>0</v>
      </c>
      <c r="Y23" s="11"/>
      <c r="Z23" s="11"/>
      <c r="AA23" s="11"/>
      <c r="AB23" s="11"/>
      <c r="AC23" s="11"/>
      <c r="AD23" s="11"/>
      <c r="AE23" s="11"/>
      <c r="AF23" s="11"/>
    </row>
    <row r="24" spans="1:32" ht="15.75" x14ac:dyDescent="0.25">
      <c r="A24" s="20" t="s">
        <v>19</v>
      </c>
      <c r="B24" s="6">
        <v>23</v>
      </c>
      <c r="C24" s="6">
        <v>0</v>
      </c>
      <c r="D24" s="6">
        <v>0</v>
      </c>
      <c r="E24" s="6">
        <v>1</v>
      </c>
      <c r="F24" s="6">
        <v>0</v>
      </c>
      <c r="G24" s="3">
        <v>76</v>
      </c>
      <c r="H24" s="7">
        <v>0</v>
      </c>
      <c r="I24" s="7">
        <v>0</v>
      </c>
      <c r="J24" s="9">
        <f t="shared" si="0"/>
        <v>0</v>
      </c>
      <c r="K24" s="9">
        <f t="shared" si="1"/>
        <v>0</v>
      </c>
      <c r="L24" s="9">
        <f t="shared" si="9"/>
        <v>0</v>
      </c>
      <c r="M24" s="9">
        <f t="shared" si="10"/>
        <v>0</v>
      </c>
      <c r="N24" s="9">
        <f t="shared" si="2"/>
        <v>0</v>
      </c>
      <c r="O24" s="9">
        <f t="shared" si="3"/>
        <v>0</v>
      </c>
      <c r="P24" s="9">
        <f t="shared" si="4"/>
        <v>0</v>
      </c>
      <c r="Q24" s="16">
        <f t="shared" si="11"/>
        <v>0</v>
      </c>
      <c r="R24" s="16">
        <f t="shared" si="5"/>
        <v>0</v>
      </c>
      <c r="S24" s="16">
        <f t="shared" si="6"/>
        <v>0</v>
      </c>
      <c r="T24" s="16">
        <f t="shared" si="7"/>
        <v>0</v>
      </c>
      <c r="U24" s="16">
        <f t="shared" si="12"/>
        <v>0</v>
      </c>
      <c r="V24" s="16">
        <f t="shared" si="13"/>
        <v>0</v>
      </c>
      <c r="W24" s="16">
        <f t="shared" si="14"/>
        <v>0</v>
      </c>
      <c r="X24" s="16">
        <f t="shared" si="8"/>
        <v>0</v>
      </c>
      <c r="Y24" s="11"/>
      <c r="Z24" s="11"/>
      <c r="AA24" s="11"/>
      <c r="AB24" s="11"/>
      <c r="AC24" s="11"/>
      <c r="AD24" s="11"/>
      <c r="AE24" s="11"/>
      <c r="AF24" s="11"/>
    </row>
    <row r="25" spans="1:32" ht="15.75" x14ac:dyDescent="0.25">
      <c r="A25" s="21" t="s">
        <v>5</v>
      </c>
      <c r="B25" s="6">
        <v>24</v>
      </c>
      <c r="C25" s="6">
        <v>0</v>
      </c>
      <c r="D25" s="6">
        <v>0</v>
      </c>
      <c r="E25" s="6">
        <v>0</v>
      </c>
      <c r="F25" s="6">
        <v>1</v>
      </c>
      <c r="G25" s="3">
        <v>91</v>
      </c>
      <c r="H25" s="7">
        <v>0</v>
      </c>
      <c r="I25" s="7">
        <v>1</v>
      </c>
      <c r="J25" s="9">
        <f t="shared" si="0"/>
        <v>1</v>
      </c>
      <c r="K25" s="9">
        <f t="shared" si="1"/>
        <v>0</v>
      </c>
      <c r="L25" s="9">
        <f t="shared" si="9"/>
        <v>1</v>
      </c>
      <c r="M25" s="9">
        <f t="shared" si="10"/>
        <v>0</v>
      </c>
      <c r="N25" s="9">
        <f t="shared" si="2"/>
        <v>0</v>
      </c>
      <c r="O25" s="9">
        <f t="shared" si="3"/>
        <v>0</v>
      </c>
      <c r="P25" s="9">
        <f t="shared" si="4"/>
        <v>0</v>
      </c>
      <c r="Q25" s="14">
        <f t="shared" si="11"/>
        <v>0</v>
      </c>
      <c r="R25" s="14">
        <f t="shared" si="5"/>
        <v>0</v>
      </c>
      <c r="S25" s="14">
        <f t="shared" si="6"/>
        <v>0</v>
      </c>
      <c r="T25" s="14">
        <f t="shared" si="7"/>
        <v>0</v>
      </c>
      <c r="U25" s="14">
        <f t="shared" si="12"/>
        <v>0</v>
      </c>
      <c r="V25" s="14">
        <f t="shared" si="13"/>
        <v>0</v>
      </c>
      <c r="W25" s="14">
        <f t="shared" si="14"/>
        <v>0</v>
      </c>
      <c r="X25" s="14">
        <f t="shared" si="8"/>
        <v>91</v>
      </c>
      <c r="Y25" s="11"/>
      <c r="Z25" s="11"/>
      <c r="AA25" s="11"/>
      <c r="AB25" s="11"/>
      <c r="AC25" s="11"/>
      <c r="AD25" s="11"/>
      <c r="AE25" s="11"/>
      <c r="AF25" s="11"/>
    </row>
    <row r="26" spans="1:32" ht="15.75" x14ac:dyDescent="0.25">
      <c r="A26" s="21" t="s">
        <v>18</v>
      </c>
      <c r="B26" s="6">
        <v>25</v>
      </c>
      <c r="C26" s="6">
        <v>0</v>
      </c>
      <c r="D26" s="6">
        <v>0</v>
      </c>
      <c r="E26" s="6">
        <v>0</v>
      </c>
      <c r="F26" s="6">
        <v>1</v>
      </c>
      <c r="G26" s="3">
        <v>79</v>
      </c>
      <c r="H26" s="7">
        <v>0</v>
      </c>
      <c r="I26" s="7">
        <v>0</v>
      </c>
      <c r="J26" s="9">
        <f t="shared" si="0"/>
        <v>0</v>
      </c>
      <c r="K26" s="9">
        <f t="shared" si="1"/>
        <v>0</v>
      </c>
      <c r="L26" s="9">
        <f t="shared" si="9"/>
        <v>0</v>
      </c>
      <c r="M26" s="9">
        <f t="shared" si="10"/>
        <v>0</v>
      </c>
      <c r="N26" s="9">
        <f t="shared" si="2"/>
        <v>0</v>
      </c>
      <c r="O26" s="9">
        <f t="shared" si="3"/>
        <v>0</v>
      </c>
      <c r="P26" s="9">
        <f t="shared" si="4"/>
        <v>0</v>
      </c>
      <c r="Q26" s="14">
        <f t="shared" si="11"/>
        <v>0</v>
      </c>
      <c r="R26" s="14">
        <f t="shared" si="5"/>
        <v>0</v>
      </c>
      <c r="S26" s="14">
        <f t="shared" si="6"/>
        <v>0</v>
      </c>
      <c r="T26" s="14">
        <f t="shared" si="7"/>
        <v>0</v>
      </c>
      <c r="U26" s="14">
        <f t="shared" si="12"/>
        <v>0</v>
      </c>
      <c r="V26" s="14">
        <f t="shared" si="13"/>
        <v>0</v>
      </c>
      <c r="W26" s="14">
        <f t="shared" si="14"/>
        <v>0</v>
      </c>
      <c r="X26" s="14">
        <f t="shared" si="8"/>
        <v>0</v>
      </c>
      <c r="Y26" s="11"/>
      <c r="Z26" s="11"/>
      <c r="AA26" s="11"/>
      <c r="AB26" s="11"/>
      <c r="AC26" s="11"/>
      <c r="AD26" s="11"/>
      <c r="AE26" s="11"/>
      <c r="AF26" s="11"/>
    </row>
    <row r="27" spans="1:32" ht="15.75" x14ac:dyDescent="0.25">
      <c r="A27" s="21" t="s">
        <v>20</v>
      </c>
      <c r="B27" s="6">
        <v>26</v>
      </c>
      <c r="C27" s="6">
        <v>0</v>
      </c>
      <c r="D27" s="6">
        <v>0</v>
      </c>
      <c r="E27" s="6">
        <v>0</v>
      </c>
      <c r="F27" s="6">
        <v>1</v>
      </c>
      <c r="G27" s="3">
        <v>98</v>
      </c>
      <c r="H27" s="7">
        <v>0</v>
      </c>
      <c r="I27" s="7">
        <v>1</v>
      </c>
      <c r="J27" s="9">
        <f t="shared" si="0"/>
        <v>1</v>
      </c>
      <c r="K27" s="9">
        <f t="shared" si="1"/>
        <v>0</v>
      </c>
      <c r="L27" s="9">
        <f t="shared" si="9"/>
        <v>1</v>
      </c>
      <c r="M27" s="9">
        <f t="shared" si="10"/>
        <v>0</v>
      </c>
      <c r="N27" s="9">
        <f t="shared" si="2"/>
        <v>0</v>
      </c>
      <c r="O27" s="9">
        <f t="shared" si="3"/>
        <v>0</v>
      </c>
      <c r="P27" s="9">
        <f t="shared" si="4"/>
        <v>0</v>
      </c>
      <c r="Q27" s="14">
        <f t="shared" si="11"/>
        <v>0</v>
      </c>
      <c r="R27" s="14">
        <f t="shared" si="5"/>
        <v>0</v>
      </c>
      <c r="S27" s="14">
        <f t="shared" si="6"/>
        <v>0</v>
      </c>
      <c r="T27" s="14">
        <f t="shared" si="7"/>
        <v>0</v>
      </c>
      <c r="U27" s="14">
        <f t="shared" si="12"/>
        <v>0</v>
      </c>
      <c r="V27" s="14">
        <f t="shared" si="13"/>
        <v>0</v>
      </c>
      <c r="W27" s="14">
        <f t="shared" si="14"/>
        <v>0</v>
      </c>
      <c r="X27" s="14">
        <f t="shared" si="8"/>
        <v>98</v>
      </c>
      <c r="Y27" s="11"/>
      <c r="Z27" s="11"/>
      <c r="AA27" s="11"/>
      <c r="AB27" s="11"/>
      <c r="AC27" s="11"/>
      <c r="AD27" s="11"/>
      <c r="AE27" s="11"/>
      <c r="AF27" s="11"/>
    </row>
    <row r="28" spans="1:32" ht="15.75" x14ac:dyDescent="0.25">
      <c r="A28" s="21" t="s">
        <v>23</v>
      </c>
      <c r="B28" s="6">
        <v>27</v>
      </c>
      <c r="C28" s="6">
        <v>0</v>
      </c>
      <c r="D28" s="6">
        <v>0</v>
      </c>
      <c r="E28" s="6">
        <v>0</v>
      </c>
      <c r="F28" s="6">
        <v>1</v>
      </c>
      <c r="G28" s="3">
        <v>85</v>
      </c>
      <c r="H28" s="7">
        <v>0</v>
      </c>
      <c r="I28" s="7">
        <v>0</v>
      </c>
      <c r="J28" s="9">
        <f t="shared" si="0"/>
        <v>0</v>
      </c>
      <c r="K28" s="9">
        <f t="shared" si="1"/>
        <v>0</v>
      </c>
      <c r="L28" s="9">
        <f t="shared" si="9"/>
        <v>0</v>
      </c>
      <c r="M28" s="9">
        <f t="shared" si="10"/>
        <v>0</v>
      </c>
      <c r="N28" s="9">
        <f t="shared" si="2"/>
        <v>0</v>
      </c>
      <c r="O28" s="9">
        <f t="shared" si="3"/>
        <v>0</v>
      </c>
      <c r="P28" s="9">
        <f t="shared" si="4"/>
        <v>0</v>
      </c>
      <c r="Q28" s="14">
        <f t="shared" si="11"/>
        <v>0</v>
      </c>
      <c r="R28" s="14">
        <f t="shared" si="5"/>
        <v>0</v>
      </c>
      <c r="S28" s="14">
        <f t="shared" si="6"/>
        <v>0</v>
      </c>
      <c r="T28" s="14">
        <f t="shared" si="7"/>
        <v>0</v>
      </c>
      <c r="U28" s="14">
        <f t="shared" si="12"/>
        <v>0</v>
      </c>
      <c r="V28" s="14">
        <f t="shared" si="13"/>
        <v>0</v>
      </c>
      <c r="W28" s="14">
        <f t="shared" si="14"/>
        <v>0</v>
      </c>
      <c r="X28" s="14">
        <f t="shared" si="8"/>
        <v>0</v>
      </c>
      <c r="Y28" s="11"/>
      <c r="Z28" s="11"/>
      <c r="AA28" s="11"/>
      <c r="AB28" s="11"/>
      <c r="AC28" s="11"/>
      <c r="AD28" s="11"/>
      <c r="AE28" s="11"/>
      <c r="AF28" s="11"/>
    </row>
    <row r="29" spans="1:32" ht="15.75" x14ac:dyDescent="0.25">
      <c r="A29" s="21" t="s">
        <v>38</v>
      </c>
      <c r="B29" s="6">
        <v>28</v>
      </c>
      <c r="C29" s="6">
        <v>0</v>
      </c>
      <c r="D29" s="6">
        <v>0</v>
      </c>
      <c r="E29" s="6">
        <v>0</v>
      </c>
      <c r="F29" s="6">
        <v>1</v>
      </c>
      <c r="G29" s="3">
        <v>79</v>
      </c>
      <c r="H29" s="7">
        <v>0</v>
      </c>
      <c r="I29" s="7">
        <v>0</v>
      </c>
      <c r="J29" s="9">
        <f t="shared" si="0"/>
        <v>0</v>
      </c>
      <c r="K29" s="9">
        <f t="shared" si="1"/>
        <v>0</v>
      </c>
      <c r="L29" s="9">
        <f t="shared" si="9"/>
        <v>0</v>
      </c>
      <c r="M29" s="9">
        <f t="shared" si="10"/>
        <v>0</v>
      </c>
      <c r="N29" s="9">
        <f t="shared" si="2"/>
        <v>0</v>
      </c>
      <c r="O29" s="9">
        <f t="shared" si="3"/>
        <v>0</v>
      </c>
      <c r="P29" s="9">
        <f t="shared" si="4"/>
        <v>0</v>
      </c>
      <c r="Q29" s="14">
        <f t="shared" si="11"/>
        <v>0</v>
      </c>
      <c r="R29" s="14">
        <f t="shared" si="5"/>
        <v>0</v>
      </c>
      <c r="S29" s="14">
        <f t="shared" si="6"/>
        <v>0</v>
      </c>
      <c r="T29" s="14">
        <f t="shared" si="7"/>
        <v>0</v>
      </c>
      <c r="U29" s="14">
        <f t="shared" si="12"/>
        <v>0</v>
      </c>
      <c r="V29" s="14">
        <f t="shared" si="13"/>
        <v>0</v>
      </c>
      <c r="W29" s="14">
        <f t="shared" si="14"/>
        <v>0</v>
      </c>
      <c r="X29" s="14">
        <f t="shared" si="8"/>
        <v>0</v>
      </c>
      <c r="Y29" s="11"/>
      <c r="Z29" s="11"/>
      <c r="AA29" s="11"/>
      <c r="AB29" s="11"/>
      <c r="AC29" s="11"/>
      <c r="AD29" s="11"/>
      <c r="AE29" s="11"/>
      <c r="AF29" s="11"/>
    </row>
    <row r="30" spans="1:32" ht="15.75" x14ac:dyDescent="0.25">
      <c r="A30" s="21" t="s">
        <v>6</v>
      </c>
      <c r="B30" s="6">
        <v>29</v>
      </c>
      <c r="C30" s="6">
        <v>0</v>
      </c>
      <c r="D30" s="6">
        <v>0</v>
      </c>
      <c r="E30" s="6">
        <v>0</v>
      </c>
      <c r="F30" s="6">
        <v>1</v>
      </c>
      <c r="G30" s="3">
        <v>117</v>
      </c>
      <c r="H30" s="7">
        <v>1</v>
      </c>
      <c r="I30" s="7">
        <v>0</v>
      </c>
      <c r="J30" s="9">
        <f t="shared" si="0"/>
        <v>1</v>
      </c>
      <c r="K30" s="9">
        <f t="shared" si="1"/>
        <v>0</v>
      </c>
      <c r="L30" s="9">
        <f t="shared" si="9"/>
        <v>1</v>
      </c>
      <c r="M30" s="9">
        <f t="shared" si="10"/>
        <v>0</v>
      </c>
      <c r="N30" s="9">
        <f t="shared" si="2"/>
        <v>0</v>
      </c>
      <c r="O30" s="9">
        <f t="shared" si="3"/>
        <v>0</v>
      </c>
      <c r="P30" s="9">
        <f t="shared" si="4"/>
        <v>1</v>
      </c>
      <c r="Q30" s="14">
        <f t="shared" si="11"/>
        <v>0</v>
      </c>
      <c r="R30" s="14">
        <f t="shared" si="5"/>
        <v>0</v>
      </c>
      <c r="S30" s="14">
        <f t="shared" si="6"/>
        <v>0</v>
      </c>
      <c r="T30" s="14">
        <f t="shared" si="7"/>
        <v>0</v>
      </c>
      <c r="U30" s="14">
        <f t="shared" si="12"/>
        <v>0</v>
      </c>
      <c r="V30" s="14">
        <f t="shared" si="13"/>
        <v>0</v>
      </c>
      <c r="W30" s="14">
        <f t="shared" si="14"/>
        <v>117</v>
      </c>
      <c r="X30" s="14">
        <f t="shared" si="8"/>
        <v>0</v>
      </c>
      <c r="Y30" s="11"/>
      <c r="Z30" s="11"/>
      <c r="AA30" s="11"/>
      <c r="AB30" s="11"/>
      <c r="AC30" s="11"/>
      <c r="AD30" s="11"/>
      <c r="AE30" s="11"/>
      <c r="AF30" s="11"/>
    </row>
    <row r="31" spans="1:32" ht="15.75" x14ac:dyDescent="0.25">
      <c r="A31" s="21" t="s">
        <v>22</v>
      </c>
      <c r="B31" s="6">
        <v>30</v>
      </c>
      <c r="C31" s="6">
        <v>0</v>
      </c>
      <c r="D31" s="6">
        <v>0</v>
      </c>
      <c r="E31" s="6">
        <v>0</v>
      </c>
      <c r="F31" s="6">
        <v>1</v>
      </c>
      <c r="G31" s="3">
        <v>100</v>
      </c>
      <c r="H31" s="7">
        <v>1</v>
      </c>
      <c r="I31" s="7">
        <v>0</v>
      </c>
      <c r="J31" s="9">
        <f t="shared" si="0"/>
        <v>1</v>
      </c>
      <c r="K31" s="9">
        <f t="shared" si="1"/>
        <v>0</v>
      </c>
      <c r="L31" s="9">
        <f t="shared" si="9"/>
        <v>1</v>
      </c>
      <c r="M31" s="9">
        <f t="shared" si="10"/>
        <v>0</v>
      </c>
      <c r="N31" s="9">
        <f t="shared" si="2"/>
        <v>0</v>
      </c>
      <c r="O31" s="9">
        <f t="shared" si="3"/>
        <v>0</v>
      </c>
      <c r="P31" s="9">
        <f t="shared" si="4"/>
        <v>1</v>
      </c>
      <c r="Q31" s="14">
        <f t="shared" si="11"/>
        <v>0</v>
      </c>
      <c r="R31" s="14">
        <f t="shared" si="5"/>
        <v>0</v>
      </c>
      <c r="S31" s="14">
        <f t="shared" si="6"/>
        <v>0</v>
      </c>
      <c r="T31" s="14">
        <f t="shared" si="7"/>
        <v>0</v>
      </c>
      <c r="U31" s="14">
        <f t="shared" si="12"/>
        <v>0</v>
      </c>
      <c r="V31" s="14">
        <f t="shared" si="13"/>
        <v>0</v>
      </c>
      <c r="W31" s="14">
        <f t="shared" si="14"/>
        <v>100</v>
      </c>
      <c r="X31" s="14">
        <f t="shared" si="8"/>
        <v>0</v>
      </c>
      <c r="Y31" s="11"/>
      <c r="Z31" s="11"/>
      <c r="AA31" s="11"/>
      <c r="AB31" s="11"/>
      <c r="AC31" s="11"/>
      <c r="AD31" s="11"/>
      <c r="AE31" s="11"/>
      <c r="AF31" s="11"/>
    </row>
    <row r="32" spans="1:32" ht="15.75" x14ac:dyDescent="0.25">
      <c r="A32" s="2"/>
      <c r="B32" s="2"/>
      <c r="C32" s="2"/>
      <c r="D32" s="2"/>
      <c r="E32" s="2"/>
      <c r="F32" s="1"/>
    </row>
    <row r="33" spans="1:26" ht="15.75" x14ac:dyDescent="0.25">
      <c r="A33" s="2" t="s">
        <v>45</v>
      </c>
      <c r="B33" s="2"/>
      <c r="C33" s="2"/>
      <c r="D33" s="2"/>
      <c r="E33" s="2"/>
      <c r="F33" s="1"/>
      <c r="H33">
        <f>SUM(H2:H31)</f>
        <v>8</v>
      </c>
      <c r="I33">
        <f>SUM(I2:I31)</f>
        <v>8</v>
      </c>
      <c r="K33">
        <f>SUM(K2:K31)</f>
        <v>8</v>
      </c>
      <c r="L33">
        <f>SUM(L2:L31)</f>
        <v>8</v>
      </c>
      <c r="N33" s="6"/>
      <c r="O33" t="s">
        <v>74</v>
      </c>
      <c r="U33" s="17"/>
      <c r="V33" t="s">
        <v>60</v>
      </c>
      <c r="Z33" s="11"/>
    </row>
    <row r="34" spans="1:26" ht="15.75" x14ac:dyDescent="0.25">
      <c r="A34" s="2"/>
      <c r="B34" s="2"/>
      <c r="C34" s="2"/>
      <c r="D34" s="2"/>
      <c r="E34" s="2"/>
      <c r="F34" s="1"/>
      <c r="N34" s="9"/>
      <c r="O34" t="s">
        <v>75</v>
      </c>
      <c r="U34" s="15"/>
      <c r="V34" t="s">
        <v>59</v>
      </c>
      <c r="Z34" s="11"/>
    </row>
    <row r="35" spans="1:26" ht="15.75" x14ac:dyDescent="0.25">
      <c r="A35" s="2" t="s">
        <v>36</v>
      </c>
      <c r="B35" s="2"/>
      <c r="C35" s="2"/>
      <c r="D35" s="2"/>
      <c r="E35" s="2"/>
      <c r="F35" s="1"/>
      <c r="N35" s="7"/>
      <c r="O35" t="s">
        <v>76</v>
      </c>
      <c r="U35" s="12"/>
      <c r="V35" t="s">
        <v>61</v>
      </c>
    </row>
    <row r="36" spans="1:26" ht="15.75" x14ac:dyDescent="0.25">
      <c r="A36" s="1" t="s">
        <v>35</v>
      </c>
      <c r="B36">
        <f>SUMPRODUCT(G2:G31,H2:H31)</f>
        <v>855</v>
      </c>
      <c r="N36" s="3"/>
      <c r="O36" t="s">
        <v>77</v>
      </c>
      <c r="U36" s="14"/>
      <c r="V36" t="s">
        <v>62</v>
      </c>
    </row>
    <row r="37" spans="1:26" ht="15.75" x14ac:dyDescent="0.25">
      <c r="A37" s="1" t="s">
        <v>34</v>
      </c>
      <c r="B37">
        <f>SUMPRODUCT(G2:G31,I2:I31)</f>
        <v>756</v>
      </c>
    </row>
    <row r="38" spans="1:26" x14ac:dyDescent="0.25">
      <c r="D38" t="s">
        <v>83</v>
      </c>
    </row>
    <row r="39" spans="1:26" ht="15.75" x14ac:dyDescent="0.25">
      <c r="A39" s="1" t="s">
        <v>33</v>
      </c>
      <c r="B39">
        <f>2*B36+B37</f>
        <v>2466</v>
      </c>
      <c r="D39">
        <f>B36+B37</f>
        <v>1611</v>
      </c>
      <c r="H39" t="s">
        <v>82</v>
      </c>
    </row>
    <row r="41" spans="1:26" ht="15.75" x14ac:dyDescent="0.25">
      <c r="A41" s="1" t="s">
        <v>47</v>
      </c>
    </row>
    <row r="42" spans="1:26" x14ac:dyDescent="0.25">
      <c r="B42">
        <f>SUM(H2:H31) +SUM(I2:I31)</f>
        <v>16</v>
      </c>
      <c r="C42" t="s">
        <v>48</v>
      </c>
      <c r="D42">
        <v>16</v>
      </c>
    </row>
    <row r="43" spans="1:26" x14ac:dyDescent="0.25">
      <c r="C43" t="s">
        <v>49</v>
      </c>
      <c r="D43">
        <v>1</v>
      </c>
    </row>
    <row r="44" spans="1:26" x14ac:dyDescent="0.25">
      <c r="B44">
        <f>SUM(K2:K31)</f>
        <v>8</v>
      </c>
      <c r="C44" t="s">
        <v>49</v>
      </c>
      <c r="D44">
        <v>8</v>
      </c>
    </row>
    <row r="45" spans="1:26" x14ac:dyDescent="0.25">
      <c r="B45">
        <f>SUM(L2:L31)</f>
        <v>8</v>
      </c>
      <c r="C45" t="s">
        <v>49</v>
      </c>
      <c r="D45">
        <v>8</v>
      </c>
    </row>
    <row r="47" spans="1:26" x14ac:dyDescent="0.25">
      <c r="A47" t="s">
        <v>54</v>
      </c>
      <c r="B47">
        <f>SUM(M2:M31)</f>
        <v>2</v>
      </c>
      <c r="C47" t="s">
        <v>48</v>
      </c>
      <c r="D47">
        <f>SUM(N2:N31)</f>
        <v>2</v>
      </c>
    </row>
    <row r="48" spans="1:26" x14ac:dyDescent="0.25">
      <c r="A48" t="s">
        <v>55</v>
      </c>
      <c r="B48">
        <f>SUM(O2:O31)</f>
        <v>2</v>
      </c>
      <c r="C48" t="s">
        <v>48</v>
      </c>
      <c r="D48">
        <f>SUM(P2:P31)</f>
        <v>2</v>
      </c>
    </row>
    <row r="50" spans="1:5" x14ac:dyDescent="0.25">
      <c r="A50" t="s">
        <v>57</v>
      </c>
      <c r="B50">
        <f>B47</f>
        <v>2</v>
      </c>
      <c r="C50" t="s">
        <v>56</v>
      </c>
      <c r="D50">
        <f>B48</f>
        <v>2</v>
      </c>
    </row>
    <row r="51" spans="1:5" x14ac:dyDescent="0.25">
      <c r="B51" t="s">
        <v>58</v>
      </c>
    </row>
    <row r="53" spans="1:5" x14ac:dyDescent="0.25">
      <c r="A53" t="s">
        <v>80</v>
      </c>
      <c r="B53">
        <f>SUMPRODUCT($H$2:$H$31,$C$2:$C$31)</f>
        <v>2</v>
      </c>
      <c r="C53" t="s">
        <v>49</v>
      </c>
      <c r="D53">
        <v>2</v>
      </c>
      <c r="E53" t="s">
        <v>81</v>
      </c>
    </row>
    <row r="54" spans="1:5" x14ac:dyDescent="0.25">
      <c r="B54">
        <f>SUMPRODUCT($H$2:$H$31,$D$2:$D$31)</f>
        <v>2</v>
      </c>
      <c r="C54" t="s">
        <v>49</v>
      </c>
      <c r="D54">
        <v>2</v>
      </c>
    </row>
    <row r="55" spans="1:5" x14ac:dyDescent="0.25">
      <c r="B55">
        <f>SUMPRODUCT($H$2:$H$31,$E$2:$E$31)</f>
        <v>2</v>
      </c>
      <c r="C55" t="s">
        <v>49</v>
      </c>
      <c r="D55">
        <v>2</v>
      </c>
    </row>
    <row r="56" spans="1:5" x14ac:dyDescent="0.25">
      <c r="B56">
        <f>SUMPRODUCT($H$2:$H$31,$F$2:$F$31)</f>
        <v>2</v>
      </c>
      <c r="C56" t="s">
        <v>49</v>
      </c>
      <c r="D56">
        <v>2</v>
      </c>
    </row>
  </sheetData>
  <autoFilter ref="A1:X31">
    <sortState ref="A2:X31">
      <sortCondition ref="B1:B31"/>
    </sortState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56"/>
  <sheetViews>
    <sheetView topLeftCell="A30" workbookViewId="0">
      <selection activeCell="G2" sqref="G2:G31"/>
    </sheetView>
  </sheetViews>
  <sheetFormatPr defaultRowHeight="15" x14ac:dyDescent="0.25"/>
  <cols>
    <col min="1" max="1" width="21" bestFit="1" customWidth="1"/>
    <col min="25" max="25" width="7.28515625" customWidth="1"/>
    <col min="26" max="26" width="6.7109375" customWidth="1"/>
    <col min="27" max="27" width="6.5703125" customWidth="1"/>
  </cols>
  <sheetData>
    <row r="1" spans="1:32" ht="47.25" x14ac:dyDescent="0.25">
      <c r="A1" s="4" t="s">
        <v>25</v>
      </c>
      <c r="B1" s="4" t="s">
        <v>37</v>
      </c>
      <c r="C1" s="4" t="s">
        <v>28</v>
      </c>
      <c r="D1" s="4" t="s">
        <v>29</v>
      </c>
      <c r="E1" s="4" t="s">
        <v>30</v>
      </c>
      <c r="F1" s="4" t="s">
        <v>31</v>
      </c>
      <c r="G1" s="5" t="s">
        <v>32</v>
      </c>
      <c r="H1" s="5" t="s">
        <v>26</v>
      </c>
      <c r="I1" s="5" t="s">
        <v>27</v>
      </c>
      <c r="J1" s="13" t="s">
        <v>46</v>
      </c>
      <c r="K1" s="13" t="s">
        <v>43</v>
      </c>
      <c r="L1" s="13" t="s">
        <v>44</v>
      </c>
      <c r="M1" s="8" t="s">
        <v>51</v>
      </c>
      <c r="N1" s="8" t="s">
        <v>50</v>
      </c>
      <c r="O1" s="8" t="s">
        <v>52</v>
      </c>
      <c r="P1" s="8" t="s">
        <v>53</v>
      </c>
      <c r="Q1" s="8" t="s">
        <v>66</v>
      </c>
      <c r="R1" s="8" t="s">
        <v>67</v>
      </c>
      <c r="S1" s="8" t="s">
        <v>68</v>
      </c>
      <c r="T1" s="8" t="s">
        <v>69</v>
      </c>
      <c r="U1" s="8" t="s">
        <v>70</v>
      </c>
      <c r="V1" s="8" t="s">
        <v>71</v>
      </c>
      <c r="W1" s="8" t="s">
        <v>72</v>
      </c>
      <c r="X1" s="8" t="s">
        <v>73</v>
      </c>
      <c r="Y1" s="8"/>
      <c r="Z1" s="8"/>
      <c r="AA1" s="8"/>
      <c r="AB1" s="8"/>
    </row>
    <row r="2" spans="1:32" ht="15.75" x14ac:dyDescent="0.25">
      <c r="A2" s="18" t="s">
        <v>16</v>
      </c>
      <c r="B2" s="6">
        <v>1</v>
      </c>
      <c r="C2" s="6">
        <v>1</v>
      </c>
      <c r="D2" s="6">
        <v>0</v>
      </c>
      <c r="E2" s="6">
        <v>0</v>
      </c>
      <c r="F2" s="6">
        <v>0</v>
      </c>
      <c r="G2" s="3">
        <v>86</v>
      </c>
      <c r="H2" s="7">
        <v>0</v>
      </c>
      <c r="I2" s="7">
        <v>0</v>
      </c>
      <c r="J2" s="9">
        <f t="shared" ref="J2:J31" si="0">H2+I2</f>
        <v>0</v>
      </c>
      <c r="K2" s="9">
        <f t="shared" ref="K2:K31" si="1">(C2+D2)*(H2+I2)</f>
        <v>0</v>
      </c>
      <c r="L2" s="9">
        <f>(E2+F2)*(H2+I2)</f>
        <v>0</v>
      </c>
      <c r="M2" s="9">
        <f>C2*H2</f>
        <v>0</v>
      </c>
      <c r="N2" s="9">
        <f t="shared" ref="N2:N31" si="2">D2*H2</f>
        <v>0</v>
      </c>
      <c r="O2" s="9">
        <f t="shared" ref="O2:O31" si="3">E2*H2</f>
        <v>0</v>
      </c>
      <c r="P2" s="9">
        <f t="shared" ref="P2:P31" si="4">F2*H2</f>
        <v>0</v>
      </c>
      <c r="Q2" s="17">
        <f>H2*G2*C2</f>
        <v>0</v>
      </c>
      <c r="R2" s="17">
        <f t="shared" ref="R2:R31" si="5">I2*G2*C2</f>
        <v>0</v>
      </c>
      <c r="S2" s="17">
        <f t="shared" ref="S2:S31" si="6">H2*G2*D2</f>
        <v>0</v>
      </c>
      <c r="T2" s="17">
        <f t="shared" ref="T2:T31" si="7">I2*G2*D2</f>
        <v>0</v>
      </c>
      <c r="U2" s="17">
        <f>H2*G2*E2</f>
        <v>0</v>
      </c>
      <c r="V2" s="17">
        <f>I2*G2*E2</f>
        <v>0</v>
      </c>
      <c r="W2" s="17">
        <f>H2*G2*F2</f>
        <v>0</v>
      </c>
      <c r="X2" s="17">
        <f t="shared" ref="X2:X31" si="8">I2*G2*F2</f>
        <v>0</v>
      </c>
      <c r="Y2" s="11"/>
      <c r="Z2" s="11"/>
      <c r="AA2" s="11"/>
      <c r="AB2" s="11"/>
      <c r="AC2" s="11"/>
      <c r="AD2" s="11"/>
      <c r="AE2" s="11"/>
      <c r="AF2" s="11"/>
    </row>
    <row r="3" spans="1:32" ht="14.25" customHeight="1" x14ac:dyDescent="0.25">
      <c r="A3" s="18" t="s">
        <v>21</v>
      </c>
      <c r="B3" s="6">
        <v>2</v>
      </c>
      <c r="C3" s="6">
        <v>1</v>
      </c>
      <c r="D3" s="6">
        <v>0</v>
      </c>
      <c r="E3" s="6">
        <v>0</v>
      </c>
      <c r="F3" s="6">
        <v>0</v>
      </c>
      <c r="G3" s="3">
        <v>76</v>
      </c>
      <c r="H3" s="7">
        <v>0</v>
      </c>
      <c r="I3" s="7">
        <v>0</v>
      </c>
      <c r="J3" s="9">
        <f t="shared" si="0"/>
        <v>0</v>
      </c>
      <c r="K3" s="9">
        <f t="shared" si="1"/>
        <v>0</v>
      </c>
      <c r="L3" s="9">
        <f t="shared" ref="L3:L31" si="9">(E3+F3)*(H3+I3)</f>
        <v>0</v>
      </c>
      <c r="M3" s="9">
        <f t="shared" ref="M3:M31" si="10">C3*H3</f>
        <v>0</v>
      </c>
      <c r="N3" s="9">
        <f t="shared" si="2"/>
        <v>0</v>
      </c>
      <c r="O3" s="9">
        <f t="shared" si="3"/>
        <v>0</v>
      </c>
      <c r="P3" s="9">
        <f t="shared" si="4"/>
        <v>0</v>
      </c>
      <c r="Q3" s="17">
        <f t="shared" ref="Q3:Q31" si="11">H3*G3*C3</f>
        <v>0</v>
      </c>
      <c r="R3" s="17">
        <f t="shared" si="5"/>
        <v>0</v>
      </c>
      <c r="S3" s="17">
        <f t="shared" si="6"/>
        <v>0</v>
      </c>
      <c r="T3" s="17">
        <f t="shared" si="7"/>
        <v>0</v>
      </c>
      <c r="U3" s="17">
        <f t="shared" ref="U3:U31" si="12">H3*G3*E3</f>
        <v>0</v>
      </c>
      <c r="V3" s="17">
        <f t="shared" ref="V3:V31" si="13">I3*G3*E3</f>
        <v>0</v>
      </c>
      <c r="W3" s="17">
        <f t="shared" ref="W3:W31" si="14">H3*G3*F3</f>
        <v>0</v>
      </c>
      <c r="X3" s="17">
        <f t="shared" si="8"/>
        <v>0</v>
      </c>
      <c r="Y3" s="11"/>
      <c r="Z3" s="11"/>
      <c r="AA3" s="11"/>
      <c r="AB3" s="11"/>
      <c r="AC3" s="11"/>
      <c r="AD3" s="11"/>
      <c r="AE3" s="11"/>
      <c r="AF3" s="11"/>
    </row>
    <row r="4" spans="1:32" ht="15.75" x14ac:dyDescent="0.25">
      <c r="A4" s="18" t="s">
        <v>39</v>
      </c>
      <c r="B4" s="6">
        <v>3</v>
      </c>
      <c r="C4" s="6">
        <v>1</v>
      </c>
      <c r="D4" s="6">
        <v>0</v>
      </c>
      <c r="E4" s="6">
        <v>0</v>
      </c>
      <c r="F4" s="6">
        <v>0</v>
      </c>
      <c r="G4" s="3">
        <v>84</v>
      </c>
      <c r="H4" s="7">
        <v>0</v>
      </c>
      <c r="I4" s="7">
        <v>0</v>
      </c>
      <c r="J4" s="9">
        <f t="shared" si="0"/>
        <v>0</v>
      </c>
      <c r="K4" s="9">
        <f t="shared" si="1"/>
        <v>0</v>
      </c>
      <c r="L4" s="9">
        <f t="shared" si="9"/>
        <v>0</v>
      </c>
      <c r="M4" s="9">
        <f t="shared" si="10"/>
        <v>0</v>
      </c>
      <c r="N4" s="9">
        <f t="shared" si="2"/>
        <v>0</v>
      </c>
      <c r="O4" s="9">
        <f t="shared" si="3"/>
        <v>0</v>
      </c>
      <c r="P4" s="9">
        <f t="shared" si="4"/>
        <v>0</v>
      </c>
      <c r="Q4" s="17">
        <f t="shared" si="11"/>
        <v>0</v>
      </c>
      <c r="R4" s="17">
        <f t="shared" si="5"/>
        <v>0</v>
      </c>
      <c r="S4" s="17">
        <f t="shared" si="6"/>
        <v>0</v>
      </c>
      <c r="T4" s="17">
        <f t="shared" si="7"/>
        <v>0</v>
      </c>
      <c r="U4" s="17">
        <f t="shared" si="12"/>
        <v>0</v>
      </c>
      <c r="V4" s="17">
        <f t="shared" si="13"/>
        <v>0</v>
      </c>
      <c r="W4" s="17">
        <f t="shared" si="14"/>
        <v>0</v>
      </c>
      <c r="X4" s="17">
        <f t="shared" si="8"/>
        <v>0</v>
      </c>
      <c r="Y4" s="11"/>
      <c r="Z4" s="11"/>
      <c r="AA4" s="11"/>
      <c r="AB4" s="11"/>
      <c r="AC4" s="11"/>
      <c r="AD4" s="11"/>
      <c r="AE4" s="11"/>
      <c r="AF4" s="11"/>
    </row>
    <row r="5" spans="1:32" ht="15.75" x14ac:dyDescent="0.25">
      <c r="A5" s="18" t="s">
        <v>40</v>
      </c>
      <c r="B5" s="6">
        <v>4</v>
      </c>
      <c r="C5" s="6">
        <v>1</v>
      </c>
      <c r="D5" s="6">
        <v>0</v>
      </c>
      <c r="E5" s="6">
        <v>0</v>
      </c>
      <c r="F5" s="6">
        <v>0</v>
      </c>
      <c r="G5" s="3">
        <v>100</v>
      </c>
      <c r="H5" s="7">
        <v>0</v>
      </c>
      <c r="I5" s="7">
        <v>1</v>
      </c>
      <c r="J5" s="9">
        <f t="shared" si="0"/>
        <v>1</v>
      </c>
      <c r="K5" s="9">
        <f t="shared" si="1"/>
        <v>1</v>
      </c>
      <c r="L5" s="9">
        <f t="shared" si="9"/>
        <v>0</v>
      </c>
      <c r="M5" s="9">
        <f t="shared" si="10"/>
        <v>0</v>
      </c>
      <c r="N5" s="9">
        <f t="shared" si="2"/>
        <v>0</v>
      </c>
      <c r="O5" s="9">
        <f t="shared" si="3"/>
        <v>0</v>
      </c>
      <c r="P5" s="9">
        <f t="shared" si="4"/>
        <v>0</v>
      </c>
      <c r="Q5" s="17">
        <f t="shared" si="11"/>
        <v>0</v>
      </c>
      <c r="R5" s="17">
        <f t="shared" si="5"/>
        <v>100</v>
      </c>
      <c r="S5" s="17">
        <f t="shared" si="6"/>
        <v>0</v>
      </c>
      <c r="T5" s="17">
        <f t="shared" si="7"/>
        <v>0</v>
      </c>
      <c r="U5" s="17">
        <f t="shared" si="12"/>
        <v>0</v>
      </c>
      <c r="V5" s="17">
        <f t="shared" si="13"/>
        <v>0</v>
      </c>
      <c r="W5" s="17">
        <f t="shared" si="14"/>
        <v>0</v>
      </c>
      <c r="X5" s="17">
        <f t="shared" si="8"/>
        <v>0</v>
      </c>
      <c r="Y5" s="11"/>
      <c r="Z5" s="11"/>
      <c r="AA5" s="11"/>
      <c r="AB5" s="11"/>
      <c r="AC5" s="11"/>
      <c r="AD5" s="11"/>
      <c r="AE5" s="11"/>
      <c r="AF5" s="11"/>
    </row>
    <row r="6" spans="1:32" ht="15.75" x14ac:dyDescent="0.25">
      <c r="A6" s="18" t="s">
        <v>41</v>
      </c>
      <c r="B6" s="6">
        <v>5</v>
      </c>
      <c r="C6" s="6">
        <v>1</v>
      </c>
      <c r="D6" s="6">
        <v>0</v>
      </c>
      <c r="E6" s="6">
        <v>0</v>
      </c>
      <c r="F6" s="6">
        <v>0</v>
      </c>
      <c r="G6" s="3">
        <v>101</v>
      </c>
      <c r="H6" s="7">
        <v>1</v>
      </c>
      <c r="I6" s="7">
        <v>0</v>
      </c>
      <c r="J6" s="9">
        <f t="shared" si="0"/>
        <v>1</v>
      </c>
      <c r="K6" s="9">
        <f t="shared" si="1"/>
        <v>1</v>
      </c>
      <c r="L6" s="9">
        <f t="shared" si="9"/>
        <v>0</v>
      </c>
      <c r="M6" s="9">
        <f t="shared" si="10"/>
        <v>1</v>
      </c>
      <c r="N6" s="9">
        <f t="shared" si="2"/>
        <v>0</v>
      </c>
      <c r="O6" s="9">
        <f t="shared" si="3"/>
        <v>0</v>
      </c>
      <c r="P6" s="9">
        <f t="shared" si="4"/>
        <v>0</v>
      </c>
      <c r="Q6" s="17">
        <f t="shared" si="11"/>
        <v>101</v>
      </c>
      <c r="R6" s="17">
        <f t="shared" si="5"/>
        <v>0</v>
      </c>
      <c r="S6" s="17">
        <f t="shared" si="6"/>
        <v>0</v>
      </c>
      <c r="T6" s="17">
        <f t="shared" si="7"/>
        <v>0</v>
      </c>
      <c r="U6" s="17">
        <f t="shared" si="12"/>
        <v>0</v>
      </c>
      <c r="V6" s="17">
        <f t="shared" si="13"/>
        <v>0</v>
      </c>
      <c r="W6" s="17">
        <f t="shared" si="14"/>
        <v>0</v>
      </c>
      <c r="X6" s="17">
        <f t="shared" si="8"/>
        <v>0</v>
      </c>
      <c r="Y6" s="11"/>
      <c r="Z6" s="11"/>
      <c r="AA6" s="11"/>
      <c r="AB6" s="11"/>
      <c r="AC6" s="11"/>
      <c r="AD6" s="11"/>
      <c r="AE6" s="11"/>
      <c r="AF6" s="11"/>
    </row>
    <row r="7" spans="1:32" ht="15.75" x14ac:dyDescent="0.25">
      <c r="A7" s="18" t="s">
        <v>9</v>
      </c>
      <c r="B7" s="6">
        <v>6</v>
      </c>
      <c r="C7" s="6">
        <v>1</v>
      </c>
      <c r="D7" s="6">
        <v>0</v>
      </c>
      <c r="E7" s="6">
        <v>0</v>
      </c>
      <c r="F7" s="6">
        <v>0</v>
      </c>
      <c r="G7" s="3">
        <v>96</v>
      </c>
      <c r="H7" s="7">
        <v>0</v>
      </c>
      <c r="I7" s="7">
        <v>1</v>
      </c>
      <c r="J7" s="9">
        <f t="shared" si="0"/>
        <v>1</v>
      </c>
      <c r="K7" s="9">
        <f t="shared" si="1"/>
        <v>1</v>
      </c>
      <c r="L7" s="9">
        <f t="shared" si="9"/>
        <v>0</v>
      </c>
      <c r="M7" s="9">
        <f t="shared" si="10"/>
        <v>0</v>
      </c>
      <c r="N7" s="9">
        <f t="shared" si="2"/>
        <v>0</v>
      </c>
      <c r="O7" s="9">
        <f t="shared" si="3"/>
        <v>0</v>
      </c>
      <c r="P7" s="9">
        <f t="shared" si="4"/>
        <v>0</v>
      </c>
      <c r="Q7" s="17">
        <f t="shared" si="11"/>
        <v>0</v>
      </c>
      <c r="R7" s="17">
        <f t="shared" si="5"/>
        <v>96</v>
      </c>
      <c r="S7" s="17">
        <f t="shared" si="6"/>
        <v>0</v>
      </c>
      <c r="T7" s="17">
        <f t="shared" si="7"/>
        <v>0</v>
      </c>
      <c r="U7" s="17">
        <f t="shared" si="12"/>
        <v>0</v>
      </c>
      <c r="V7" s="17">
        <f t="shared" si="13"/>
        <v>0</v>
      </c>
      <c r="W7" s="17">
        <f t="shared" si="14"/>
        <v>0</v>
      </c>
      <c r="X7" s="17">
        <f t="shared" si="8"/>
        <v>0</v>
      </c>
      <c r="Y7" s="11"/>
      <c r="Z7" s="11"/>
      <c r="AA7" s="11"/>
      <c r="AB7" s="11"/>
      <c r="AC7" s="11"/>
      <c r="AD7" s="11"/>
      <c r="AE7" s="11"/>
      <c r="AF7" s="11"/>
    </row>
    <row r="8" spans="1:32" ht="15.75" x14ac:dyDescent="0.25">
      <c r="A8" s="18" t="s">
        <v>42</v>
      </c>
      <c r="B8" s="6">
        <v>7</v>
      </c>
      <c r="C8" s="6">
        <v>1</v>
      </c>
      <c r="D8" s="6">
        <v>0</v>
      </c>
      <c r="E8" s="6">
        <v>0</v>
      </c>
      <c r="F8" s="6">
        <v>0</v>
      </c>
      <c r="G8" s="3">
        <v>104</v>
      </c>
      <c r="H8" s="7">
        <v>1</v>
      </c>
      <c r="I8" s="7">
        <v>0</v>
      </c>
      <c r="J8" s="9">
        <f t="shared" si="0"/>
        <v>1</v>
      </c>
      <c r="K8" s="9">
        <f t="shared" si="1"/>
        <v>1</v>
      </c>
      <c r="L8" s="9">
        <f t="shared" si="9"/>
        <v>0</v>
      </c>
      <c r="M8" s="9">
        <f t="shared" si="10"/>
        <v>1</v>
      </c>
      <c r="N8" s="9">
        <f t="shared" si="2"/>
        <v>0</v>
      </c>
      <c r="O8" s="9">
        <f t="shared" si="3"/>
        <v>0</v>
      </c>
      <c r="P8" s="9">
        <f t="shared" si="4"/>
        <v>0</v>
      </c>
      <c r="Q8" s="17">
        <f t="shared" si="11"/>
        <v>104</v>
      </c>
      <c r="R8" s="17">
        <f t="shared" si="5"/>
        <v>0</v>
      </c>
      <c r="S8" s="17">
        <f t="shared" si="6"/>
        <v>0</v>
      </c>
      <c r="T8" s="17">
        <f t="shared" si="7"/>
        <v>0</v>
      </c>
      <c r="U8" s="17">
        <f t="shared" si="12"/>
        <v>0</v>
      </c>
      <c r="V8" s="17">
        <f t="shared" si="13"/>
        <v>0</v>
      </c>
      <c r="W8" s="17">
        <f t="shared" si="14"/>
        <v>0</v>
      </c>
      <c r="X8" s="17">
        <f t="shared" si="8"/>
        <v>0</v>
      </c>
      <c r="Y8" s="11"/>
      <c r="Z8" s="11"/>
      <c r="AA8" s="11"/>
      <c r="AB8" s="11"/>
      <c r="AC8" s="11"/>
      <c r="AD8" s="11"/>
      <c r="AE8" s="11"/>
      <c r="AF8" s="11"/>
    </row>
    <row r="9" spans="1:32" ht="15.75" x14ac:dyDescent="0.25">
      <c r="A9" s="18" t="s">
        <v>0</v>
      </c>
      <c r="B9" s="6">
        <v>8</v>
      </c>
      <c r="C9" s="6">
        <v>1</v>
      </c>
      <c r="D9" s="6">
        <v>0</v>
      </c>
      <c r="E9" s="6">
        <v>0</v>
      </c>
      <c r="F9" s="6">
        <v>0</v>
      </c>
      <c r="G9" s="3">
        <v>120</v>
      </c>
      <c r="H9" s="7">
        <v>1</v>
      </c>
      <c r="I9" s="7">
        <v>0</v>
      </c>
      <c r="J9" s="9">
        <f t="shared" si="0"/>
        <v>1</v>
      </c>
      <c r="K9" s="9">
        <f t="shared" si="1"/>
        <v>1</v>
      </c>
      <c r="L9" s="9">
        <f t="shared" si="9"/>
        <v>0</v>
      </c>
      <c r="M9" s="9">
        <f t="shared" si="10"/>
        <v>1</v>
      </c>
      <c r="N9" s="9">
        <f t="shared" si="2"/>
        <v>0</v>
      </c>
      <c r="O9" s="9">
        <f t="shared" si="3"/>
        <v>0</v>
      </c>
      <c r="P9" s="9">
        <f t="shared" si="4"/>
        <v>0</v>
      </c>
      <c r="Q9" s="17">
        <f t="shared" si="11"/>
        <v>120</v>
      </c>
      <c r="R9" s="17">
        <f t="shared" si="5"/>
        <v>0</v>
      </c>
      <c r="S9" s="17">
        <f t="shared" si="6"/>
        <v>0</v>
      </c>
      <c r="T9" s="17">
        <f t="shared" si="7"/>
        <v>0</v>
      </c>
      <c r="U9" s="17">
        <f t="shared" si="12"/>
        <v>0</v>
      </c>
      <c r="V9" s="17">
        <f t="shared" si="13"/>
        <v>0</v>
      </c>
      <c r="W9" s="17">
        <f t="shared" si="14"/>
        <v>0</v>
      </c>
      <c r="X9" s="17">
        <f t="shared" si="8"/>
        <v>0</v>
      </c>
      <c r="Y9" s="11"/>
      <c r="Z9" s="11"/>
      <c r="AA9" s="11"/>
      <c r="AB9" s="11"/>
      <c r="AC9" s="11"/>
      <c r="AD9" s="11"/>
      <c r="AE9" s="11"/>
      <c r="AF9" s="11"/>
    </row>
    <row r="10" spans="1:32" ht="15" customHeight="1" x14ac:dyDescent="0.25">
      <c r="A10" s="19" t="s">
        <v>8</v>
      </c>
      <c r="B10" s="6">
        <v>9</v>
      </c>
      <c r="C10" s="6">
        <v>0</v>
      </c>
      <c r="D10" s="6">
        <v>1</v>
      </c>
      <c r="E10" s="6">
        <v>0</v>
      </c>
      <c r="F10" s="6">
        <v>0</v>
      </c>
      <c r="G10" s="3">
        <v>93</v>
      </c>
      <c r="H10" s="7">
        <v>0</v>
      </c>
      <c r="I10" s="7">
        <v>0</v>
      </c>
      <c r="J10" s="9">
        <f t="shared" si="0"/>
        <v>0</v>
      </c>
      <c r="K10" s="9">
        <f t="shared" si="1"/>
        <v>0</v>
      </c>
      <c r="L10" s="9">
        <f t="shared" si="9"/>
        <v>0</v>
      </c>
      <c r="M10" s="9">
        <f t="shared" si="10"/>
        <v>0</v>
      </c>
      <c r="N10" s="9">
        <f t="shared" si="2"/>
        <v>0</v>
      </c>
      <c r="O10" s="9">
        <f t="shared" si="3"/>
        <v>0</v>
      </c>
      <c r="P10" s="9">
        <f t="shared" si="4"/>
        <v>0</v>
      </c>
      <c r="Q10" s="15">
        <f t="shared" si="11"/>
        <v>0</v>
      </c>
      <c r="R10" s="15">
        <f t="shared" si="5"/>
        <v>0</v>
      </c>
      <c r="S10" s="15">
        <f t="shared" si="6"/>
        <v>0</v>
      </c>
      <c r="T10" s="15">
        <f t="shared" si="7"/>
        <v>0</v>
      </c>
      <c r="U10" s="15">
        <f t="shared" si="12"/>
        <v>0</v>
      </c>
      <c r="V10" s="15">
        <f t="shared" si="13"/>
        <v>0</v>
      </c>
      <c r="W10" s="15">
        <f t="shared" si="14"/>
        <v>0</v>
      </c>
      <c r="X10" s="15">
        <f t="shared" si="8"/>
        <v>0</v>
      </c>
      <c r="Y10" s="11"/>
      <c r="Z10" s="11"/>
      <c r="AA10" s="11"/>
      <c r="AB10" s="11"/>
      <c r="AC10" s="11"/>
      <c r="AD10" s="11"/>
      <c r="AE10" s="11"/>
      <c r="AF10" s="11"/>
    </row>
    <row r="11" spans="1:32" ht="15.75" x14ac:dyDescent="0.25">
      <c r="A11" s="19" t="s">
        <v>17</v>
      </c>
      <c r="B11" s="6">
        <v>10</v>
      </c>
      <c r="C11" s="6">
        <v>0</v>
      </c>
      <c r="D11" s="6">
        <v>1</v>
      </c>
      <c r="E11" s="6">
        <v>0</v>
      </c>
      <c r="F11" s="6">
        <v>0</v>
      </c>
      <c r="G11" s="3">
        <v>81</v>
      </c>
      <c r="H11" s="7">
        <v>0</v>
      </c>
      <c r="I11" s="7">
        <v>0</v>
      </c>
      <c r="J11" s="9">
        <f t="shared" si="0"/>
        <v>0</v>
      </c>
      <c r="K11" s="9">
        <f t="shared" si="1"/>
        <v>0</v>
      </c>
      <c r="L11" s="9">
        <f t="shared" si="9"/>
        <v>0</v>
      </c>
      <c r="M11" s="9">
        <f t="shared" si="10"/>
        <v>0</v>
      </c>
      <c r="N11" s="9">
        <f t="shared" si="2"/>
        <v>0</v>
      </c>
      <c r="O11" s="9">
        <f t="shared" si="3"/>
        <v>0</v>
      </c>
      <c r="P11" s="9">
        <f t="shared" si="4"/>
        <v>0</v>
      </c>
      <c r="Q11" s="15">
        <f t="shared" si="11"/>
        <v>0</v>
      </c>
      <c r="R11" s="15">
        <f t="shared" si="5"/>
        <v>0</v>
      </c>
      <c r="S11" s="15">
        <f t="shared" si="6"/>
        <v>0</v>
      </c>
      <c r="T11" s="15">
        <f t="shared" si="7"/>
        <v>0</v>
      </c>
      <c r="U11" s="15">
        <f t="shared" si="12"/>
        <v>0</v>
      </c>
      <c r="V11" s="15">
        <f t="shared" si="13"/>
        <v>0</v>
      </c>
      <c r="W11" s="15">
        <f t="shared" si="14"/>
        <v>0</v>
      </c>
      <c r="X11" s="15">
        <f t="shared" si="8"/>
        <v>0</v>
      </c>
      <c r="Y11" s="11"/>
      <c r="Z11" s="11"/>
      <c r="AA11" s="11"/>
      <c r="AB11" s="11"/>
      <c r="AC11" s="11"/>
      <c r="AD11" s="11"/>
      <c r="AE11" s="11"/>
      <c r="AF11" s="11"/>
    </row>
    <row r="12" spans="1:32" ht="15.75" x14ac:dyDescent="0.25">
      <c r="A12" s="19" t="s">
        <v>11</v>
      </c>
      <c r="B12" s="6">
        <v>11</v>
      </c>
      <c r="C12" s="6">
        <v>0</v>
      </c>
      <c r="D12" s="6">
        <v>1</v>
      </c>
      <c r="E12" s="6">
        <v>0</v>
      </c>
      <c r="F12" s="6">
        <v>0</v>
      </c>
      <c r="G12" s="3">
        <v>93</v>
      </c>
      <c r="H12" s="7">
        <v>1</v>
      </c>
      <c r="I12" s="7">
        <v>0</v>
      </c>
      <c r="J12" s="9">
        <f t="shared" si="0"/>
        <v>1</v>
      </c>
      <c r="K12" s="9">
        <f t="shared" si="1"/>
        <v>1</v>
      </c>
      <c r="L12" s="9">
        <f t="shared" si="9"/>
        <v>0</v>
      </c>
      <c r="M12" s="9">
        <f t="shared" si="10"/>
        <v>0</v>
      </c>
      <c r="N12" s="9">
        <f t="shared" si="2"/>
        <v>1</v>
      </c>
      <c r="O12" s="9">
        <f t="shared" si="3"/>
        <v>0</v>
      </c>
      <c r="P12" s="9">
        <f t="shared" si="4"/>
        <v>0</v>
      </c>
      <c r="Q12" s="15">
        <f t="shared" si="11"/>
        <v>0</v>
      </c>
      <c r="R12" s="15">
        <f t="shared" si="5"/>
        <v>0</v>
      </c>
      <c r="S12" s="15">
        <f t="shared" si="6"/>
        <v>93</v>
      </c>
      <c r="T12" s="15">
        <f t="shared" si="7"/>
        <v>0</v>
      </c>
      <c r="U12" s="15">
        <f t="shared" si="12"/>
        <v>0</v>
      </c>
      <c r="V12" s="15">
        <f t="shared" si="13"/>
        <v>0</v>
      </c>
      <c r="W12" s="15">
        <f t="shared" si="14"/>
        <v>0</v>
      </c>
      <c r="X12" s="15">
        <f t="shared" si="8"/>
        <v>0</v>
      </c>
      <c r="Y12" s="11"/>
      <c r="Z12" s="11"/>
      <c r="AA12" s="11"/>
      <c r="AB12" s="11"/>
      <c r="AC12" s="11"/>
      <c r="AD12" s="11"/>
      <c r="AE12" s="11"/>
      <c r="AF12" s="11"/>
    </row>
    <row r="13" spans="1:32" ht="15.75" x14ac:dyDescent="0.25">
      <c r="A13" s="19" t="s">
        <v>3</v>
      </c>
      <c r="B13" s="6">
        <v>12</v>
      </c>
      <c r="C13" s="6">
        <v>0</v>
      </c>
      <c r="D13" s="6">
        <v>1</v>
      </c>
      <c r="E13" s="6">
        <v>0</v>
      </c>
      <c r="F13" s="6">
        <v>0</v>
      </c>
      <c r="G13" s="3">
        <v>103</v>
      </c>
      <c r="H13" s="7">
        <v>1</v>
      </c>
      <c r="I13" s="7">
        <v>0</v>
      </c>
      <c r="J13" s="9">
        <f t="shared" si="0"/>
        <v>1</v>
      </c>
      <c r="K13" s="9">
        <f t="shared" si="1"/>
        <v>1</v>
      </c>
      <c r="L13" s="9">
        <f t="shared" si="9"/>
        <v>0</v>
      </c>
      <c r="M13" s="9">
        <f t="shared" si="10"/>
        <v>0</v>
      </c>
      <c r="N13" s="9">
        <f t="shared" si="2"/>
        <v>1</v>
      </c>
      <c r="O13" s="9">
        <f t="shared" si="3"/>
        <v>0</v>
      </c>
      <c r="P13" s="9">
        <f t="shared" si="4"/>
        <v>0</v>
      </c>
      <c r="Q13" s="15">
        <f t="shared" si="11"/>
        <v>0</v>
      </c>
      <c r="R13" s="15">
        <f t="shared" si="5"/>
        <v>0</v>
      </c>
      <c r="S13" s="15">
        <f t="shared" si="6"/>
        <v>103</v>
      </c>
      <c r="T13" s="15">
        <f t="shared" si="7"/>
        <v>0</v>
      </c>
      <c r="U13" s="15">
        <f t="shared" si="12"/>
        <v>0</v>
      </c>
      <c r="V13" s="15">
        <f t="shared" si="13"/>
        <v>0</v>
      </c>
      <c r="W13" s="15">
        <f t="shared" si="14"/>
        <v>0</v>
      </c>
      <c r="X13" s="15">
        <f t="shared" si="8"/>
        <v>0</v>
      </c>
      <c r="Y13" s="11"/>
      <c r="Z13" s="11"/>
      <c r="AA13" s="11"/>
      <c r="AB13" s="11"/>
      <c r="AC13" s="11"/>
      <c r="AD13" s="11"/>
      <c r="AE13" s="11"/>
      <c r="AF13" s="11"/>
    </row>
    <row r="14" spans="1:32" ht="15.75" x14ac:dyDescent="0.25">
      <c r="A14" s="19" t="s">
        <v>15</v>
      </c>
      <c r="B14" s="6">
        <v>13</v>
      </c>
      <c r="C14" s="6">
        <v>0</v>
      </c>
      <c r="D14" s="6">
        <v>1</v>
      </c>
      <c r="E14" s="6">
        <v>0</v>
      </c>
      <c r="F14" s="6">
        <v>0</v>
      </c>
      <c r="G14" s="3">
        <v>82</v>
      </c>
      <c r="H14" s="7">
        <v>0</v>
      </c>
      <c r="I14" s="7">
        <v>0</v>
      </c>
      <c r="J14" s="9">
        <f t="shared" si="0"/>
        <v>0</v>
      </c>
      <c r="K14" s="9">
        <f t="shared" si="1"/>
        <v>0</v>
      </c>
      <c r="L14" s="9">
        <f t="shared" si="9"/>
        <v>0</v>
      </c>
      <c r="M14" s="9">
        <f t="shared" si="10"/>
        <v>0</v>
      </c>
      <c r="N14" s="9">
        <f t="shared" si="2"/>
        <v>0</v>
      </c>
      <c r="O14" s="9">
        <f t="shared" si="3"/>
        <v>0</v>
      </c>
      <c r="P14" s="9">
        <f t="shared" si="4"/>
        <v>0</v>
      </c>
      <c r="Q14" s="15">
        <f t="shared" si="11"/>
        <v>0</v>
      </c>
      <c r="R14" s="15">
        <f t="shared" si="5"/>
        <v>0</v>
      </c>
      <c r="S14" s="15">
        <f t="shared" si="6"/>
        <v>0</v>
      </c>
      <c r="T14" s="15">
        <f t="shared" si="7"/>
        <v>0</v>
      </c>
      <c r="U14" s="15">
        <f t="shared" si="12"/>
        <v>0</v>
      </c>
      <c r="V14" s="15">
        <f t="shared" si="13"/>
        <v>0</v>
      </c>
      <c r="W14" s="15">
        <f t="shared" si="14"/>
        <v>0</v>
      </c>
      <c r="X14" s="15">
        <f t="shared" si="8"/>
        <v>0</v>
      </c>
      <c r="Y14" s="11"/>
      <c r="Z14" s="11"/>
      <c r="AA14" s="11"/>
      <c r="AB14" s="11"/>
      <c r="AC14" s="11"/>
      <c r="AD14" s="11"/>
      <c r="AE14" s="11"/>
      <c r="AF14" s="11"/>
    </row>
    <row r="15" spans="1:32" ht="15.75" x14ac:dyDescent="0.25">
      <c r="A15" s="19" t="s">
        <v>14</v>
      </c>
      <c r="B15" s="6">
        <v>14</v>
      </c>
      <c r="C15" s="6">
        <v>0</v>
      </c>
      <c r="D15" s="6">
        <v>1</v>
      </c>
      <c r="E15" s="6">
        <v>0</v>
      </c>
      <c r="F15" s="6">
        <v>0</v>
      </c>
      <c r="G15" s="3">
        <v>85</v>
      </c>
      <c r="H15" s="7">
        <v>0</v>
      </c>
      <c r="I15" s="7">
        <v>0</v>
      </c>
      <c r="J15" s="9">
        <f t="shared" si="0"/>
        <v>0</v>
      </c>
      <c r="K15" s="9">
        <f t="shared" si="1"/>
        <v>0</v>
      </c>
      <c r="L15" s="9">
        <f t="shared" si="9"/>
        <v>0</v>
      </c>
      <c r="M15" s="9">
        <f t="shared" si="10"/>
        <v>0</v>
      </c>
      <c r="N15" s="9">
        <f t="shared" si="2"/>
        <v>0</v>
      </c>
      <c r="O15" s="9">
        <f t="shared" si="3"/>
        <v>0</v>
      </c>
      <c r="P15" s="9">
        <f t="shared" si="4"/>
        <v>0</v>
      </c>
      <c r="Q15" s="15">
        <f t="shared" si="11"/>
        <v>0</v>
      </c>
      <c r="R15" s="15">
        <f t="shared" si="5"/>
        <v>0</v>
      </c>
      <c r="S15" s="15">
        <f t="shared" si="6"/>
        <v>0</v>
      </c>
      <c r="T15" s="15">
        <f t="shared" si="7"/>
        <v>0</v>
      </c>
      <c r="U15" s="15">
        <f t="shared" si="12"/>
        <v>0</v>
      </c>
      <c r="V15" s="15">
        <f t="shared" si="13"/>
        <v>0</v>
      </c>
      <c r="W15" s="15">
        <f t="shared" si="14"/>
        <v>0</v>
      </c>
      <c r="X15" s="15">
        <f t="shared" si="8"/>
        <v>0</v>
      </c>
      <c r="Y15" s="11"/>
      <c r="Z15" s="11"/>
      <c r="AA15" s="11"/>
      <c r="AB15" s="11"/>
      <c r="AC15" s="11"/>
      <c r="AD15" s="11"/>
      <c r="AE15" s="11"/>
      <c r="AF15" s="11"/>
    </row>
    <row r="16" spans="1:32" ht="15.75" x14ac:dyDescent="0.25">
      <c r="A16" s="19" t="s">
        <v>7</v>
      </c>
      <c r="B16" s="6">
        <v>15</v>
      </c>
      <c r="C16" s="6">
        <v>0</v>
      </c>
      <c r="D16" s="6">
        <v>1</v>
      </c>
      <c r="E16" s="6">
        <v>0</v>
      </c>
      <c r="F16" s="6">
        <v>0</v>
      </c>
      <c r="G16" s="3">
        <v>97</v>
      </c>
      <c r="H16" s="7">
        <v>1</v>
      </c>
      <c r="I16" s="7">
        <v>0</v>
      </c>
      <c r="J16" s="9">
        <f t="shared" si="0"/>
        <v>1</v>
      </c>
      <c r="K16" s="9">
        <f t="shared" si="1"/>
        <v>1</v>
      </c>
      <c r="L16" s="9">
        <f t="shared" si="9"/>
        <v>0</v>
      </c>
      <c r="M16" s="9">
        <f t="shared" si="10"/>
        <v>0</v>
      </c>
      <c r="N16" s="9">
        <f t="shared" si="2"/>
        <v>1</v>
      </c>
      <c r="O16" s="9">
        <f t="shared" si="3"/>
        <v>0</v>
      </c>
      <c r="P16" s="9">
        <f t="shared" si="4"/>
        <v>0</v>
      </c>
      <c r="Q16" s="15">
        <f t="shared" si="11"/>
        <v>0</v>
      </c>
      <c r="R16" s="15">
        <f t="shared" si="5"/>
        <v>0</v>
      </c>
      <c r="S16" s="15">
        <f t="shared" si="6"/>
        <v>97</v>
      </c>
      <c r="T16" s="15">
        <f t="shared" si="7"/>
        <v>0</v>
      </c>
      <c r="U16" s="15">
        <f t="shared" si="12"/>
        <v>0</v>
      </c>
      <c r="V16" s="15">
        <f t="shared" si="13"/>
        <v>0</v>
      </c>
      <c r="W16" s="15">
        <f t="shared" si="14"/>
        <v>0</v>
      </c>
      <c r="X16" s="15">
        <f t="shared" si="8"/>
        <v>0</v>
      </c>
      <c r="Y16" s="11"/>
      <c r="Z16" s="11"/>
      <c r="AA16" s="11"/>
      <c r="AB16" s="11"/>
      <c r="AC16" s="11"/>
      <c r="AD16" s="11"/>
      <c r="AE16" s="11"/>
      <c r="AF16" s="11"/>
    </row>
    <row r="17" spans="1:32" ht="15.75" x14ac:dyDescent="0.25">
      <c r="A17" s="19" t="s">
        <v>24</v>
      </c>
      <c r="B17" s="6">
        <v>16</v>
      </c>
      <c r="C17" s="6">
        <v>0</v>
      </c>
      <c r="D17" s="6">
        <v>1</v>
      </c>
      <c r="E17" s="6">
        <v>0</v>
      </c>
      <c r="F17" s="6">
        <v>0</v>
      </c>
      <c r="G17" s="3">
        <v>69</v>
      </c>
      <c r="H17" s="7">
        <v>0</v>
      </c>
      <c r="I17" s="7">
        <v>0</v>
      </c>
      <c r="J17" s="9">
        <f t="shared" si="0"/>
        <v>0</v>
      </c>
      <c r="K17" s="9">
        <f t="shared" si="1"/>
        <v>0</v>
      </c>
      <c r="L17" s="9">
        <f t="shared" si="9"/>
        <v>0</v>
      </c>
      <c r="M17" s="9">
        <f t="shared" si="10"/>
        <v>0</v>
      </c>
      <c r="N17" s="9">
        <f t="shared" si="2"/>
        <v>0</v>
      </c>
      <c r="O17" s="9">
        <f t="shared" si="3"/>
        <v>0</v>
      </c>
      <c r="P17" s="9">
        <f t="shared" si="4"/>
        <v>0</v>
      </c>
      <c r="Q17" s="15">
        <f t="shared" si="11"/>
        <v>0</v>
      </c>
      <c r="R17" s="15">
        <f t="shared" si="5"/>
        <v>0</v>
      </c>
      <c r="S17" s="15">
        <f t="shared" si="6"/>
        <v>0</v>
      </c>
      <c r="T17" s="15">
        <f t="shared" si="7"/>
        <v>0</v>
      </c>
      <c r="U17" s="15">
        <f t="shared" si="12"/>
        <v>0</v>
      </c>
      <c r="V17" s="15">
        <f t="shared" si="13"/>
        <v>0</v>
      </c>
      <c r="W17" s="15">
        <f t="shared" si="14"/>
        <v>0</v>
      </c>
      <c r="X17" s="15">
        <f t="shared" si="8"/>
        <v>0</v>
      </c>
      <c r="Y17" s="11"/>
      <c r="Z17" s="11"/>
      <c r="AA17" s="11"/>
      <c r="AB17" s="11"/>
      <c r="AC17" s="11"/>
      <c r="AD17" s="11"/>
      <c r="AE17" s="11"/>
      <c r="AF17" s="11"/>
    </row>
    <row r="18" spans="1:32" ht="15.75" x14ac:dyDescent="0.25">
      <c r="A18" s="20" t="s">
        <v>4</v>
      </c>
      <c r="B18" s="6">
        <v>17</v>
      </c>
      <c r="C18" s="6">
        <v>0</v>
      </c>
      <c r="D18" s="6">
        <v>0</v>
      </c>
      <c r="E18" s="6">
        <v>1</v>
      </c>
      <c r="F18" s="6">
        <v>0</v>
      </c>
      <c r="G18" s="3">
        <v>103</v>
      </c>
      <c r="H18" s="7">
        <v>1</v>
      </c>
      <c r="I18" s="7">
        <v>0</v>
      </c>
      <c r="J18" s="9">
        <f t="shared" si="0"/>
        <v>1</v>
      </c>
      <c r="K18" s="9">
        <f t="shared" si="1"/>
        <v>0</v>
      </c>
      <c r="L18" s="9">
        <f t="shared" si="9"/>
        <v>1</v>
      </c>
      <c r="M18" s="9">
        <f t="shared" si="10"/>
        <v>0</v>
      </c>
      <c r="N18" s="9">
        <f t="shared" si="2"/>
        <v>0</v>
      </c>
      <c r="O18" s="9">
        <f t="shared" si="3"/>
        <v>1</v>
      </c>
      <c r="P18" s="9">
        <f t="shared" si="4"/>
        <v>0</v>
      </c>
      <c r="Q18" s="16">
        <f t="shared" si="11"/>
        <v>0</v>
      </c>
      <c r="R18" s="16">
        <f t="shared" si="5"/>
        <v>0</v>
      </c>
      <c r="S18" s="16">
        <f t="shared" si="6"/>
        <v>0</v>
      </c>
      <c r="T18" s="16">
        <f t="shared" si="7"/>
        <v>0</v>
      </c>
      <c r="U18" s="16">
        <f t="shared" si="12"/>
        <v>103</v>
      </c>
      <c r="V18" s="16">
        <f t="shared" si="13"/>
        <v>0</v>
      </c>
      <c r="W18" s="16">
        <f t="shared" si="14"/>
        <v>0</v>
      </c>
      <c r="X18" s="16">
        <f t="shared" si="8"/>
        <v>0</v>
      </c>
      <c r="Y18" s="11"/>
      <c r="Z18" s="11"/>
      <c r="AA18" s="11"/>
      <c r="AB18" s="11"/>
      <c r="AC18" s="11"/>
      <c r="AD18" s="11"/>
      <c r="AE18" s="11"/>
      <c r="AF18" s="11"/>
    </row>
    <row r="19" spans="1:32" ht="15.75" x14ac:dyDescent="0.25">
      <c r="A19" s="20" t="s">
        <v>12</v>
      </c>
      <c r="B19" s="6">
        <v>18</v>
      </c>
      <c r="C19" s="6">
        <v>0</v>
      </c>
      <c r="D19" s="6">
        <v>0</v>
      </c>
      <c r="E19" s="6">
        <v>1</v>
      </c>
      <c r="F19" s="6">
        <v>0</v>
      </c>
      <c r="G19" s="3">
        <v>82</v>
      </c>
      <c r="H19" s="7">
        <v>0</v>
      </c>
      <c r="I19" s="7">
        <v>0</v>
      </c>
      <c r="J19" s="9">
        <f t="shared" si="0"/>
        <v>0</v>
      </c>
      <c r="K19" s="9">
        <f t="shared" si="1"/>
        <v>0</v>
      </c>
      <c r="L19" s="9">
        <f t="shared" si="9"/>
        <v>0</v>
      </c>
      <c r="M19" s="9">
        <f t="shared" si="10"/>
        <v>0</v>
      </c>
      <c r="N19" s="9">
        <f t="shared" si="2"/>
        <v>0</v>
      </c>
      <c r="O19" s="9">
        <f t="shared" si="3"/>
        <v>0</v>
      </c>
      <c r="P19" s="9">
        <f t="shared" si="4"/>
        <v>0</v>
      </c>
      <c r="Q19" s="16">
        <f t="shared" si="11"/>
        <v>0</v>
      </c>
      <c r="R19" s="16">
        <f t="shared" si="5"/>
        <v>0</v>
      </c>
      <c r="S19" s="16">
        <f t="shared" si="6"/>
        <v>0</v>
      </c>
      <c r="T19" s="16">
        <f t="shared" si="7"/>
        <v>0</v>
      </c>
      <c r="U19" s="16">
        <f t="shared" si="12"/>
        <v>0</v>
      </c>
      <c r="V19" s="16">
        <f t="shared" si="13"/>
        <v>0</v>
      </c>
      <c r="W19" s="16">
        <f t="shared" si="14"/>
        <v>0</v>
      </c>
      <c r="X19" s="16">
        <f t="shared" si="8"/>
        <v>0</v>
      </c>
      <c r="Y19" s="11"/>
      <c r="Z19" s="11"/>
      <c r="AA19" s="11"/>
      <c r="AB19" s="11"/>
      <c r="AC19" s="11"/>
      <c r="AD19" s="11"/>
      <c r="AE19" s="11"/>
      <c r="AF19" s="11"/>
    </row>
    <row r="20" spans="1:32" ht="15.75" x14ac:dyDescent="0.25">
      <c r="A20" s="20" t="s">
        <v>1</v>
      </c>
      <c r="B20" s="6">
        <v>19</v>
      </c>
      <c r="C20" s="6">
        <v>0</v>
      </c>
      <c r="D20" s="6">
        <v>0</v>
      </c>
      <c r="E20" s="6">
        <v>1</v>
      </c>
      <c r="F20" s="6">
        <v>0</v>
      </c>
      <c r="G20" s="3">
        <v>109</v>
      </c>
      <c r="H20" s="7">
        <v>1</v>
      </c>
      <c r="I20" s="7">
        <v>0</v>
      </c>
      <c r="J20" s="9">
        <f t="shared" si="0"/>
        <v>1</v>
      </c>
      <c r="K20" s="9">
        <f t="shared" si="1"/>
        <v>0</v>
      </c>
      <c r="L20" s="9">
        <f t="shared" si="9"/>
        <v>1</v>
      </c>
      <c r="M20" s="9">
        <f t="shared" si="10"/>
        <v>0</v>
      </c>
      <c r="N20" s="9">
        <f t="shared" si="2"/>
        <v>0</v>
      </c>
      <c r="O20" s="9">
        <f t="shared" si="3"/>
        <v>1</v>
      </c>
      <c r="P20" s="9">
        <f t="shared" si="4"/>
        <v>0</v>
      </c>
      <c r="Q20" s="16">
        <f t="shared" si="11"/>
        <v>0</v>
      </c>
      <c r="R20" s="16">
        <f t="shared" si="5"/>
        <v>0</v>
      </c>
      <c r="S20" s="16">
        <f t="shared" si="6"/>
        <v>0</v>
      </c>
      <c r="T20" s="16">
        <f t="shared" si="7"/>
        <v>0</v>
      </c>
      <c r="U20" s="16">
        <f t="shared" si="12"/>
        <v>109</v>
      </c>
      <c r="V20" s="16">
        <f t="shared" si="13"/>
        <v>0</v>
      </c>
      <c r="W20" s="16">
        <f t="shared" si="14"/>
        <v>0</v>
      </c>
      <c r="X20" s="16">
        <f t="shared" si="8"/>
        <v>0</v>
      </c>
      <c r="Y20" s="11"/>
      <c r="Z20" s="11"/>
      <c r="AA20" s="11"/>
      <c r="AB20" s="11"/>
      <c r="AC20" s="11"/>
      <c r="AD20" s="11"/>
      <c r="AE20" s="11"/>
      <c r="AF20" s="11"/>
    </row>
    <row r="21" spans="1:32" ht="15.75" x14ac:dyDescent="0.25">
      <c r="A21" s="20" t="s">
        <v>13</v>
      </c>
      <c r="B21" s="6">
        <v>20</v>
      </c>
      <c r="C21" s="6">
        <v>0</v>
      </c>
      <c r="D21" s="6">
        <v>0</v>
      </c>
      <c r="E21" s="6">
        <v>1</v>
      </c>
      <c r="F21" s="6">
        <v>0</v>
      </c>
      <c r="G21" s="3">
        <v>87</v>
      </c>
      <c r="H21" s="7">
        <v>0</v>
      </c>
      <c r="I21" s="7">
        <v>1</v>
      </c>
      <c r="J21" s="9">
        <f t="shared" si="0"/>
        <v>1</v>
      </c>
      <c r="K21" s="9">
        <f t="shared" si="1"/>
        <v>0</v>
      </c>
      <c r="L21" s="9">
        <f t="shared" si="9"/>
        <v>1</v>
      </c>
      <c r="M21" s="9">
        <f t="shared" si="10"/>
        <v>0</v>
      </c>
      <c r="N21" s="9">
        <f t="shared" si="2"/>
        <v>0</v>
      </c>
      <c r="O21" s="9">
        <f t="shared" si="3"/>
        <v>0</v>
      </c>
      <c r="P21" s="9">
        <f t="shared" si="4"/>
        <v>0</v>
      </c>
      <c r="Q21" s="16">
        <f t="shared" si="11"/>
        <v>0</v>
      </c>
      <c r="R21" s="16">
        <f t="shared" si="5"/>
        <v>0</v>
      </c>
      <c r="S21" s="16">
        <f t="shared" si="6"/>
        <v>0</v>
      </c>
      <c r="T21" s="16">
        <f t="shared" si="7"/>
        <v>0</v>
      </c>
      <c r="U21" s="16">
        <f t="shared" si="12"/>
        <v>0</v>
      </c>
      <c r="V21" s="16">
        <f t="shared" si="13"/>
        <v>87</v>
      </c>
      <c r="W21" s="16">
        <f t="shared" si="14"/>
        <v>0</v>
      </c>
      <c r="X21" s="16">
        <f t="shared" si="8"/>
        <v>0</v>
      </c>
      <c r="Y21" s="11"/>
      <c r="Z21" s="11"/>
      <c r="AA21" s="11"/>
      <c r="AB21" s="11"/>
      <c r="AC21" s="11"/>
      <c r="AD21" s="11"/>
      <c r="AE21" s="11"/>
      <c r="AF21" s="11"/>
    </row>
    <row r="22" spans="1:32" ht="15.75" x14ac:dyDescent="0.25">
      <c r="A22" s="20" t="s">
        <v>10</v>
      </c>
      <c r="B22" s="6">
        <v>21</v>
      </c>
      <c r="C22" s="6">
        <v>0</v>
      </c>
      <c r="D22" s="6">
        <v>0</v>
      </c>
      <c r="E22" s="6">
        <v>1</v>
      </c>
      <c r="F22" s="6">
        <v>0</v>
      </c>
      <c r="G22" s="3">
        <v>96</v>
      </c>
      <c r="H22" s="7">
        <v>0</v>
      </c>
      <c r="I22" s="7">
        <v>1</v>
      </c>
      <c r="J22" s="9">
        <f t="shared" si="0"/>
        <v>1</v>
      </c>
      <c r="K22" s="9">
        <f t="shared" si="1"/>
        <v>0</v>
      </c>
      <c r="L22" s="9">
        <f t="shared" si="9"/>
        <v>1</v>
      </c>
      <c r="M22" s="9">
        <f t="shared" si="10"/>
        <v>0</v>
      </c>
      <c r="N22" s="9">
        <f t="shared" si="2"/>
        <v>0</v>
      </c>
      <c r="O22" s="9">
        <f t="shared" si="3"/>
        <v>0</v>
      </c>
      <c r="P22" s="9">
        <f t="shared" si="4"/>
        <v>0</v>
      </c>
      <c r="Q22" s="16">
        <f t="shared" si="11"/>
        <v>0</v>
      </c>
      <c r="R22" s="16">
        <f t="shared" si="5"/>
        <v>0</v>
      </c>
      <c r="S22" s="16">
        <f t="shared" si="6"/>
        <v>0</v>
      </c>
      <c r="T22" s="16">
        <f t="shared" si="7"/>
        <v>0</v>
      </c>
      <c r="U22" s="16">
        <f t="shared" si="12"/>
        <v>0</v>
      </c>
      <c r="V22" s="16">
        <f t="shared" si="13"/>
        <v>96</v>
      </c>
      <c r="W22" s="16">
        <f t="shared" si="14"/>
        <v>0</v>
      </c>
      <c r="X22" s="16">
        <f t="shared" si="8"/>
        <v>0</v>
      </c>
      <c r="Y22" s="11"/>
      <c r="Z22" s="11"/>
      <c r="AA22" s="11"/>
      <c r="AB22" s="11"/>
      <c r="AC22" s="11"/>
      <c r="AD22" s="11"/>
      <c r="AE22" s="11"/>
      <c r="AF22" s="11"/>
    </row>
    <row r="23" spans="1:32" ht="15.75" x14ac:dyDescent="0.25">
      <c r="A23" s="20" t="s">
        <v>2</v>
      </c>
      <c r="B23" s="6">
        <v>22</v>
      </c>
      <c r="C23" s="6">
        <v>0</v>
      </c>
      <c r="D23" s="6">
        <v>0</v>
      </c>
      <c r="E23" s="6">
        <v>1</v>
      </c>
      <c r="F23" s="6">
        <v>0</v>
      </c>
      <c r="G23" s="3">
        <v>107</v>
      </c>
      <c r="H23" s="7">
        <v>1</v>
      </c>
      <c r="I23" s="7">
        <v>0</v>
      </c>
      <c r="J23" s="9">
        <f t="shared" si="0"/>
        <v>1</v>
      </c>
      <c r="K23" s="9">
        <f t="shared" si="1"/>
        <v>0</v>
      </c>
      <c r="L23" s="9">
        <f t="shared" si="9"/>
        <v>1</v>
      </c>
      <c r="M23" s="9">
        <f t="shared" si="10"/>
        <v>0</v>
      </c>
      <c r="N23" s="9">
        <f t="shared" si="2"/>
        <v>0</v>
      </c>
      <c r="O23" s="9">
        <f t="shared" si="3"/>
        <v>1</v>
      </c>
      <c r="P23" s="9">
        <f t="shared" si="4"/>
        <v>0</v>
      </c>
      <c r="Q23" s="16">
        <f t="shared" si="11"/>
        <v>0</v>
      </c>
      <c r="R23" s="16">
        <f t="shared" si="5"/>
        <v>0</v>
      </c>
      <c r="S23" s="16">
        <f t="shared" si="6"/>
        <v>0</v>
      </c>
      <c r="T23" s="16">
        <f t="shared" si="7"/>
        <v>0</v>
      </c>
      <c r="U23" s="16">
        <f t="shared" si="12"/>
        <v>107</v>
      </c>
      <c r="V23" s="16">
        <f t="shared" si="13"/>
        <v>0</v>
      </c>
      <c r="W23" s="16">
        <f t="shared" si="14"/>
        <v>0</v>
      </c>
      <c r="X23" s="16">
        <f t="shared" si="8"/>
        <v>0</v>
      </c>
      <c r="Y23" s="11"/>
      <c r="Z23" s="11"/>
      <c r="AA23" s="11"/>
      <c r="AB23" s="11"/>
      <c r="AC23" s="11"/>
      <c r="AD23" s="11"/>
      <c r="AE23" s="11"/>
      <c r="AF23" s="11"/>
    </row>
    <row r="24" spans="1:32" ht="15.75" x14ac:dyDescent="0.25">
      <c r="A24" s="20" t="s">
        <v>19</v>
      </c>
      <c r="B24" s="6">
        <v>23</v>
      </c>
      <c r="C24" s="6">
        <v>0</v>
      </c>
      <c r="D24" s="6">
        <v>0</v>
      </c>
      <c r="E24" s="6">
        <v>1</v>
      </c>
      <c r="F24" s="6">
        <v>0</v>
      </c>
      <c r="G24" s="3">
        <v>78</v>
      </c>
      <c r="H24" s="7">
        <v>0</v>
      </c>
      <c r="I24" s="7">
        <v>0</v>
      </c>
      <c r="J24" s="9">
        <f t="shared" si="0"/>
        <v>0</v>
      </c>
      <c r="K24" s="9">
        <f t="shared" si="1"/>
        <v>0</v>
      </c>
      <c r="L24" s="9">
        <f t="shared" si="9"/>
        <v>0</v>
      </c>
      <c r="M24" s="9">
        <f t="shared" si="10"/>
        <v>0</v>
      </c>
      <c r="N24" s="9">
        <f t="shared" si="2"/>
        <v>0</v>
      </c>
      <c r="O24" s="9">
        <f t="shared" si="3"/>
        <v>0</v>
      </c>
      <c r="P24" s="9">
        <f t="shared" si="4"/>
        <v>0</v>
      </c>
      <c r="Q24" s="16">
        <f t="shared" si="11"/>
        <v>0</v>
      </c>
      <c r="R24" s="16">
        <f t="shared" si="5"/>
        <v>0</v>
      </c>
      <c r="S24" s="16">
        <f t="shared" si="6"/>
        <v>0</v>
      </c>
      <c r="T24" s="16">
        <f t="shared" si="7"/>
        <v>0</v>
      </c>
      <c r="U24" s="16">
        <f t="shared" si="12"/>
        <v>0</v>
      </c>
      <c r="V24" s="16">
        <f t="shared" si="13"/>
        <v>0</v>
      </c>
      <c r="W24" s="16">
        <f t="shared" si="14"/>
        <v>0</v>
      </c>
      <c r="X24" s="16">
        <f t="shared" si="8"/>
        <v>0</v>
      </c>
      <c r="Y24" s="11"/>
      <c r="Z24" s="11"/>
      <c r="AA24" s="11"/>
      <c r="AB24" s="11"/>
      <c r="AC24" s="11"/>
      <c r="AD24" s="11"/>
      <c r="AE24" s="11"/>
      <c r="AF24" s="11"/>
    </row>
    <row r="25" spans="1:32" ht="15.75" x14ac:dyDescent="0.25">
      <c r="A25" s="21" t="s">
        <v>5</v>
      </c>
      <c r="B25" s="6">
        <v>24</v>
      </c>
      <c r="C25" s="6">
        <v>0</v>
      </c>
      <c r="D25" s="6">
        <v>0</v>
      </c>
      <c r="E25" s="6">
        <v>0</v>
      </c>
      <c r="F25" s="6">
        <v>1</v>
      </c>
      <c r="G25" s="3">
        <v>103</v>
      </c>
      <c r="H25" s="7">
        <v>1</v>
      </c>
      <c r="I25" s="7">
        <v>0</v>
      </c>
      <c r="J25" s="9">
        <f t="shared" si="0"/>
        <v>1</v>
      </c>
      <c r="K25" s="9">
        <f t="shared" si="1"/>
        <v>0</v>
      </c>
      <c r="L25" s="9">
        <f t="shared" si="9"/>
        <v>1</v>
      </c>
      <c r="M25" s="9">
        <f t="shared" si="10"/>
        <v>0</v>
      </c>
      <c r="N25" s="9">
        <f t="shared" si="2"/>
        <v>0</v>
      </c>
      <c r="O25" s="9">
        <f t="shared" si="3"/>
        <v>0</v>
      </c>
      <c r="P25" s="9">
        <f t="shared" si="4"/>
        <v>1</v>
      </c>
      <c r="Q25" s="14">
        <f t="shared" si="11"/>
        <v>0</v>
      </c>
      <c r="R25" s="14">
        <f t="shared" si="5"/>
        <v>0</v>
      </c>
      <c r="S25" s="14">
        <f t="shared" si="6"/>
        <v>0</v>
      </c>
      <c r="T25" s="14">
        <f t="shared" si="7"/>
        <v>0</v>
      </c>
      <c r="U25" s="14">
        <f t="shared" si="12"/>
        <v>0</v>
      </c>
      <c r="V25" s="14">
        <f t="shared" si="13"/>
        <v>0</v>
      </c>
      <c r="W25" s="14">
        <f t="shared" si="14"/>
        <v>103</v>
      </c>
      <c r="X25" s="14">
        <f t="shared" si="8"/>
        <v>0</v>
      </c>
      <c r="Y25" s="11"/>
      <c r="Z25" s="11"/>
      <c r="AA25" s="11"/>
      <c r="AB25" s="11"/>
      <c r="AC25" s="11"/>
      <c r="AD25" s="11"/>
      <c r="AE25" s="11"/>
      <c r="AF25" s="11"/>
    </row>
    <row r="26" spans="1:32" ht="15.75" x14ac:dyDescent="0.25">
      <c r="A26" s="21" t="s">
        <v>18</v>
      </c>
      <c r="B26" s="6">
        <v>25</v>
      </c>
      <c r="C26" s="6">
        <v>0</v>
      </c>
      <c r="D26" s="6">
        <v>0</v>
      </c>
      <c r="E26" s="6">
        <v>0</v>
      </c>
      <c r="F26" s="6">
        <v>1</v>
      </c>
      <c r="G26" s="3">
        <v>78</v>
      </c>
      <c r="H26" s="7">
        <v>0</v>
      </c>
      <c r="I26" s="7">
        <v>0</v>
      </c>
      <c r="J26" s="9">
        <f t="shared" si="0"/>
        <v>0</v>
      </c>
      <c r="K26" s="9">
        <f t="shared" si="1"/>
        <v>0</v>
      </c>
      <c r="L26" s="9">
        <f t="shared" si="9"/>
        <v>0</v>
      </c>
      <c r="M26" s="9">
        <f t="shared" si="10"/>
        <v>0</v>
      </c>
      <c r="N26" s="9">
        <f t="shared" si="2"/>
        <v>0</v>
      </c>
      <c r="O26" s="9">
        <f t="shared" si="3"/>
        <v>0</v>
      </c>
      <c r="P26" s="9">
        <f t="shared" si="4"/>
        <v>0</v>
      </c>
      <c r="Q26" s="14">
        <f t="shared" si="11"/>
        <v>0</v>
      </c>
      <c r="R26" s="14">
        <f t="shared" si="5"/>
        <v>0</v>
      </c>
      <c r="S26" s="14">
        <f t="shared" si="6"/>
        <v>0</v>
      </c>
      <c r="T26" s="14">
        <f t="shared" si="7"/>
        <v>0</v>
      </c>
      <c r="U26" s="14">
        <f t="shared" si="12"/>
        <v>0</v>
      </c>
      <c r="V26" s="14">
        <f t="shared" si="13"/>
        <v>0</v>
      </c>
      <c r="W26" s="14">
        <f t="shared" si="14"/>
        <v>0</v>
      </c>
      <c r="X26" s="14">
        <f t="shared" si="8"/>
        <v>0</v>
      </c>
      <c r="Y26" s="11"/>
      <c r="Z26" s="11"/>
      <c r="AA26" s="11"/>
      <c r="AB26" s="11"/>
      <c r="AC26" s="11"/>
      <c r="AD26" s="11"/>
      <c r="AE26" s="11"/>
      <c r="AF26" s="11"/>
    </row>
    <row r="27" spans="1:32" ht="15.75" x14ac:dyDescent="0.25">
      <c r="A27" s="21" t="s">
        <v>20</v>
      </c>
      <c r="B27" s="6">
        <v>26</v>
      </c>
      <c r="C27" s="6">
        <v>0</v>
      </c>
      <c r="D27" s="6">
        <v>0</v>
      </c>
      <c r="E27" s="6">
        <v>0</v>
      </c>
      <c r="F27" s="6">
        <v>1</v>
      </c>
      <c r="G27" s="3">
        <v>77</v>
      </c>
      <c r="H27" s="7">
        <v>0</v>
      </c>
      <c r="I27" s="7">
        <v>0</v>
      </c>
      <c r="J27" s="9">
        <f t="shared" si="0"/>
        <v>0</v>
      </c>
      <c r="K27" s="9">
        <f t="shared" si="1"/>
        <v>0</v>
      </c>
      <c r="L27" s="9">
        <f t="shared" si="9"/>
        <v>0</v>
      </c>
      <c r="M27" s="9">
        <f t="shared" si="10"/>
        <v>0</v>
      </c>
      <c r="N27" s="9">
        <f t="shared" si="2"/>
        <v>0</v>
      </c>
      <c r="O27" s="9">
        <f t="shared" si="3"/>
        <v>0</v>
      </c>
      <c r="P27" s="9">
        <f t="shared" si="4"/>
        <v>0</v>
      </c>
      <c r="Q27" s="14">
        <f t="shared" si="11"/>
        <v>0</v>
      </c>
      <c r="R27" s="14">
        <f t="shared" si="5"/>
        <v>0</v>
      </c>
      <c r="S27" s="14">
        <f t="shared" si="6"/>
        <v>0</v>
      </c>
      <c r="T27" s="14">
        <f t="shared" si="7"/>
        <v>0</v>
      </c>
      <c r="U27" s="14">
        <f t="shared" si="12"/>
        <v>0</v>
      </c>
      <c r="V27" s="14">
        <f t="shared" si="13"/>
        <v>0</v>
      </c>
      <c r="W27" s="14">
        <f t="shared" si="14"/>
        <v>0</v>
      </c>
      <c r="X27" s="14">
        <f t="shared" si="8"/>
        <v>0</v>
      </c>
      <c r="Y27" s="11"/>
      <c r="Z27" s="11"/>
      <c r="AA27" s="11"/>
      <c r="AB27" s="11"/>
      <c r="AC27" s="11"/>
      <c r="AD27" s="11"/>
      <c r="AE27" s="11"/>
      <c r="AF27" s="11"/>
    </row>
    <row r="28" spans="1:32" ht="15.75" x14ac:dyDescent="0.25">
      <c r="A28" s="21" t="s">
        <v>23</v>
      </c>
      <c r="B28" s="6">
        <v>27</v>
      </c>
      <c r="C28" s="6">
        <v>0</v>
      </c>
      <c r="D28" s="6">
        <v>0</v>
      </c>
      <c r="E28" s="6">
        <v>0</v>
      </c>
      <c r="F28" s="6">
        <v>1</v>
      </c>
      <c r="G28" s="3">
        <v>70</v>
      </c>
      <c r="H28" s="7">
        <v>0</v>
      </c>
      <c r="I28" s="7">
        <v>0</v>
      </c>
      <c r="J28" s="9">
        <f t="shared" si="0"/>
        <v>0</v>
      </c>
      <c r="K28" s="9">
        <f t="shared" si="1"/>
        <v>0</v>
      </c>
      <c r="L28" s="9">
        <f t="shared" si="9"/>
        <v>0</v>
      </c>
      <c r="M28" s="9">
        <f t="shared" si="10"/>
        <v>0</v>
      </c>
      <c r="N28" s="9">
        <f t="shared" si="2"/>
        <v>0</v>
      </c>
      <c r="O28" s="9">
        <f t="shared" si="3"/>
        <v>0</v>
      </c>
      <c r="P28" s="9">
        <f t="shared" si="4"/>
        <v>0</v>
      </c>
      <c r="Q28" s="14">
        <f t="shared" si="11"/>
        <v>0</v>
      </c>
      <c r="R28" s="14">
        <f t="shared" si="5"/>
        <v>0</v>
      </c>
      <c r="S28" s="14">
        <f t="shared" si="6"/>
        <v>0</v>
      </c>
      <c r="T28" s="14">
        <f t="shared" si="7"/>
        <v>0</v>
      </c>
      <c r="U28" s="14">
        <f t="shared" si="12"/>
        <v>0</v>
      </c>
      <c r="V28" s="14">
        <f t="shared" si="13"/>
        <v>0</v>
      </c>
      <c r="W28" s="14">
        <f t="shared" si="14"/>
        <v>0</v>
      </c>
      <c r="X28" s="14">
        <f t="shared" si="8"/>
        <v>0</v>
      </c>
      <c r="Y28" s="11"/>
      <c r="Z28" s="11"/>
      <c r="AA28" s="11"/>
      <c r="AB28" s="11"/>
      <c r="AC28" s="11"/>
      <c r="AD28" s="11"/>
      <c r="AE28" s="11"/>
      <c r="AF28" s="11"/>
    </row>
    <row r="29" spans="1:32" ht="15.75" x14ac:dyDescent="0.25">
      <c r="A29" s="21" t="s">
        <v>38</v>
      </c>
      <c r="B29" s="6">
        <v>28</v>
      </c>
      <c r="C29" s="6">
        <v>0</v>
      </c>
      <c r="D29" s="6">
        <v>0</v>
      </c>
      <c r="E29" s="6">
        <v>0</v>
      </c>
      <c r="F29" s="6">
        <v>1</v>
      </c>
      <c r="G29" s="3">
        <v>102</v>
      </c>
      <c r="H29" s="7">
        <v>1</v>
      </c>
      <c r="I29" s="7">
        <v>0</v>
      </c>
      <c r="J29" s="9">
        <f t="shared" si="0"/>
        <v>1</v>
      </c>
      <c r="K29" s="9">
        <f t="shared" si="1"/>
        <v>0</v>
      </c>
      <c r="L29" s="9">
        <f t="shared" si="9"/>
        <v>1</v>
      </c>
      <c r="M29" s="9">
        <f t="shared" si="10"/>
        <v>0</v>
      </c>
      <c r="N29" s="9">
        <f t="shared" si="2"/>
        <v>0</v>
      </c>
      <c r="O29" s="9">
        <f t="shared" si="3"/>
        <v>0</v>
      </c>
      <c r="P29" s="9">
        <f t="shared" si="4"/>
        <v>1</v>
      </c>
      <c r="Q29" s="14">
        <f t="shared" si="11"/>
        <v>0</v>
      </c>
      <c r="R29" s="14">
        <f t="shared" si="5"/>
        <v>0</v>
      </c>
      <c r="S29" s="14">
        <f t="shared" si="6"/>
        <v>0</v>
      </c>
      <c r="T29" s="14">
        <f t="shared" si="7"/>
        <v>0</v>
      </c>
      <c r="U29" s="14">
        <f t="shared" si="12"/>
        <v>0</v>
      </c>
      <c r="V29" s="14">
        <f t="shared" si="13"/>
        <v>0</v>
      </c>
      <c r="W29" s="14">
        <f t="shared" si="14"/>
        <v>102</v>
      </c>
      <c r="X29" s="14">
        <f t="shared" si="8"/>
        <v>0</v>
      </c>
      <c r="Y29" s="11"/>
      <c r="Z29" s="11"/>
      <c r="AA29" s="11"/>
      <c r="AB29" s="11"/>
      <c r="AC29" s="11"/>
      <c r="AD29" s="11"/>
      <c r="AE29" s="11"/>
      <c r="AF29" s="11"/>
    </row>
    <row r="30" spans="1:32" ht="15.75" x14ac:dyDescent="0.25">
      <c r="A30" s="21" t="s">
        <v>6</v>
      </c>
      <c r="B30" s="6">
        <v>29</v>
      </c>
      <c r="C30" s="6">
        <v>0</v>
      </c>
      <c r="D30" s="6">
        <v>0</v>
      </c>
      <c r="E30" s="6">
        <v>0</v>
      </c>
      <c r="F30" s="6">
        <v>1</v>
      </c>
      <c r="G30" s="3">
        <v>98</v>
      </c>
      <c r="H30" s="7">
        <v>1</v>
      </c>
      <c r="I30" s="7">
        <v>0</v>
      </c>
      <c r="J30" s="9">
        <f t="shared" si="0"/>
        <v>1</v>
      </c>
      <c r="K30" s="9">
        <f t="shared" si="1"/>
        <v>0</v>
      </c>
      <c r="L30" s="9">
        <f t="shared" si="9"/>
        <v>1</v>
      </c>
      <c r="M30" s="9">
        <f t="shared" si="10"/>
        <v>0</v>
      </c>
      <c r="N30" s="9">
        <f t="shared" si="2"/>
        <v>0</v>
      </c>
      <c r="O30" s="9">
        <f t="shared" si="3"/>
        <v>0</v>
      </c>
      <c r="P30" s="9">
        <f t="shared" si="4"/>
        <v>1</v>
      </c>
      <c r="Q30" s="14">
        <f t="shared" si="11"/>
        <v>0</v>
      </c>
      <c r="R30" s="14">
        <f t="shared" si="5"/>
        <v>0</v>
      </c>
      <c r="S30" s="14">
        <f t="shared" si="6"/>
        <v>0</v>
      </c>
      <c r="T30" s="14">
        <f t="shared" si="7"/>
        <v>0</v>
      </c>
      <c r="U30" s="14">
        <f t="shared" si="12"/>
        <v>0</v>
      </c>
      <c r="V30" s="14">
        <f t="shared" si="13"/>
        <v>0</v>
      </c>
      <c r="W30" s="14">
        <f t="shared" si="14"/>
        <v>98</v>
      </c>
      <c r="X30" s="14">
        <f t="shared" si="8"/>
        <v>0</v>
      </c>
      <c r="Y30" s="11"/>
      <c r="Z30" s="11"/>
      <c r="AA30" s="11"/>
      <c r="AB30" s="11"/>
      <c r="AC30" s="11"/>
      <c r="AD30" s="11"/>
      <c r="AE30" s="11"/>
      <c r="AF30" s="11"/>
    </row>
    <row r="31" spans="1:32" ht="15.75" x14ac:dyDescent="0.25">
      <c r="A31" s="21" t="s">
        <v>22</v>
      </c>
      <c r="B31" s="6">
        <v>30</v>
      </c>
      <c r="C31" s="6">
        <v>0</v>
      </c>
      <c r="D31" s="6">
        <v>0</v>
      </c>
      <c r="E31" s="6">
        <v>0</v>
      </c>
      <c r="F31" s="6">
        <v>1</v>
      </c>
      <c r="G31" s="3">
        <v>75</v>
      </c>
      <c r="H31" s="7">
        <v>0</v>
      </c>
      <c r="I31" s="7">
        <v>0</v>
      </c>
      <c r="J31" s="9">
        <f t="shared" si="0"/>
        <v>0</v>
      </c>
      <c r="K31" s="9">
        <f t="shared" si="1"/>
        <v>0</v>
      </c>
      <c r="L31" s="9">
        <f t="shared" si="9"/>
        <v>0</v>
      </c>
      <c r="M31" s="9">
        <f t="shared" si="10"/>
        <v>0</v>
      </c>
      <c r="N31" s="9">
        <f t="shared" si="2"/>
        <v>0</v>
      </c>
      <c r="O31" s="9">
        <f t="shared" si="3"/>
        <v>0</v>
      </c>
      <c r="P31" s="9">
        <f t="shared" si="4"/>
        <v>0</v>
      </c>
      <c r="Q31" s="14">
        <f t="shared" si="11"/>
        <v>0</v>
      </c>
      <c r="R31" s="14">
        <f t="shared" si="5"/>
        <v>0</v>
      </c>
      <c r="S31" s="14">
        <f t="shared" si="6"/>
        <v>0</v>
      </c>
      <c r="T31" s="14">
        <f t="shared" si="7"/>
        <v>0</v>
      </c>
      <c r="U31" s="14">
        <f t="shared" si="12"/>
        <v>0</v>
      </c>
      <c r="V31" s="14">
        <f t="shared" si="13"/>
        <v>0</v>
      </c>
      <c r="W31" s="14">
        <f t="shared" si="14"/>
        <v>0</v>
      </c>
      <c r="X31" s="14">
        <f t="shared" si="8"/>
        <v>0</v>
      </c>
      <c r="Y31" s="11"/>
      <c r="Z31" s="11"/>
      <c r="AA31" s="11"/>
      <c r="AB31" s="11"/>
      <c r="AC31" s="11"/>
      <c r="AD31" s="11"/>
      <c r="AE31" s="11"/>
      <c r="AF31" s="11"/>
    </row>
    <row r="32" spans="1:32" ht="15.75" x14ac:dyDescent="0.25">
      <c r="A32" s="2"/>
      <c r="B32" s="2"/>
      <c r="C32" s="2"/>
      <c r="D32" s="2"/>
      <c r="E32" s="2"/>
      <c r="F32" s="1"/>
    </row>
    <row r="33" spans="1:26" ht="15.75" x14ac:dyDescent="0.25">
      <c r="A33" s="2" t="s">
        <v>45</v>
      </c>
      <c r="B33" s="2"/>
      <c r="C33" s="2"/>
      <c r="D33" s="2"/>
      <c r="E33" s="2"/>
      <c r="F33" s="1"/>
      <c r="H33">
        <f>SUM(H2:H31)</f>
        <v>12</v>
      </c>
      <c r="I33">
        <f>SUM(I2:I31)</f>
        <v>4</v>
      </c>
      <c r="K33">
        <f>SUM(K2:K31)</f>
        <v>8</v>
      </c>
      <c r="L33">
        <f>SUM(L2:L31)</f>
        <v>8</v>
      </c>
      <c r="N33" s="6"/>
      <c r="O33" t="s">
        <v>74</v>
      </c>
      <c r="U33" s="17"/>
      <c r="V33" t="s">
        <v>60</v>
      </c>
      <c r="Z33" s="11"/>
    </row>
    <row r="34" spans="1:26" ht="15.75" x14ac:dyDescent="0.25">
      <c r="A34" s="2"/>
      <c r="B34" s="2"/>
      <c r="C34" s="2"/>
      <c r="D34" s="2"/>
      <c r="E34" s="2"/>
      <c r="F34" s="1"/>
      <c r="N34" s="9"/>
      <c r="O34" t="s">
        <v>75</v>
      </c>
      <c r="U34" s="15"/>
      <c r="V34" t="s">
        <v>59</v>
      </c>
      <c r="Z34" s="11"/>
    </row>
    <row r="35" spans="1:26" ht="15.75" x14ac:dyDescent="0.25">
      <c r="A35" s="2" t="s">
        <v>36</v>
      </c>
      <c r="B35" s="2"/>
      <c r="C35" s="2"/>
      <c r="D35" s="2"/>
      <c r="E35" s="2"/>
      <c r="F35" s="1"/>
      <c r="N35" s="7"/>
      <c r="O35" t="s">
        <v>76</v>
      </c>
      <c r="U35" s="12"/>
      <c r="V35" t="s">
        <v>61</v>
      </c>
    </row>
    <row r="36" spans="1:26" ht="15.75" x14ac:dyDescent="0.25">
      <c r="A36" s="1" t="s">
        <v>35</v>
      </c>
      <c r="B36">
        <f>SUMPRODUCT(G2:G31,H2:H31)</f>
        <v>1240</v>
      </c>
      <c r="N36" s="3"/>
      <c r="O36" t="s">
        <v>77</v>
      </c>
      <c r="U36" s="14"/>
      <c r="V36" t="s">
        <v>62</v>
      </c>
    </row>
    <row r="37" spans="1:26" ht="15.75" x14ac:dyDescent="0.25">
      <c r="A37" s="1" t="s">
        <v>34</v>
      </c>
      <c r="B37">
        <f>SUMPRODUCT(G2:G31,I2:I31)</f>
        <v>379</v>
      </c>
    </row>
    <row r="38" spans="1:26" x14ac:dyDescent="0.25">
      <c r="D38" t="s">
        <v>83</v>
      </c>
    </row>
    <row r="39" spans="1:26" ht="15.75" x14ac:dyDescent="0.25">
      <c r="A39" s="1" t="s">
        <v>33</v>
      </c>
      <c r="B39">
        <f>2*B36+B37</f>
        <v>2859</v>
      </c>
      <c r="D39">
        <f>B36+B37</f>
        <v>1619</v>
      </c>
      <c r="H39" t="s">
        <v>82</v>
      </c>
    </row>
    <row r="41" spans="1:26" ht="15.75" x14ac:dyDescent="0.25">
      <c r="A41" s="1" t="s">
        <v>47</v>
      </c>
    </row>
    <row r="42" spans="1:26" x14ac:dyDescent="0.25">
      <c r="B42">
        <f>SUM(H2:H31) +SUM(I2:I31)</f>
        <v>16</v>
      </c>
      <c r="C42" t="s">
        <v>48</v>
      </c>
      <c r="D42">
        <v>16</v>
      </c>
    </row>
    <row r="43" spans="1:26" x14ac:dyDescent="0.25">
      <c r="C43" t="s">
        <v>49</v>
      </c>
      <c r="D43">
        <v>1</v>
      </c>
    </row>
    <row r="44" spans="1:26" x14ac:dyDescent="0.25">
      <c r="B44">
        <f>SUM(K2:K31)</f>
        <v>8</v>
      </c>
      <c r="C44" t="s">
        <v>49</v>
      </c>
      <c r="D44">
        <v>8</v>
      </c>
    </row>
    <row r="45" spans="1:26" x14ac:dyDescent="0.25">
      <c r="B45">
        <f>SUM(L2:L31)</f>
        <v>8</v>
      </c>
      <c r="C45" t="s">
        <v>49</v>
      </c>
      <c r="D45">
        <v>8</v>
      </c>
    </row>
    <row r="47" spans="1:26" x14ac:dyDescent="0.25">
      <c r="A47" t="s">
        <v>54</v>
      </c>
      <c r="B47">
        <f>SUM(M2:M31)</f>
        <v>3</v>
      </c>
      <c r="C47" t="s">
        <v>48</v>
      </c>
      <c r="D47">
        <f>SUM(N2:N31)</f>
        <v>3</v>
      </c>
    </row>
    <row r="48" spans="1:26" x14ac:dyDescent="0.25">
      <c r="A48" t="s">
        <v>55</v>
      </c>
      <c r="B48">
        <f>SUM(O2:O31)</f>
        <v>3</v>
      </c>
      <c r="C48" t="s">
        <v>48</v>
      </c>
      <c r="D48">
        <f>SUM(P2:P31)</f>
        <v>3</v>
      </c>
    </row>
    <row r="50" spans="1:5" x14ac:dyDescent="0.25">
      <c r="A50" t="s">
        <v>57</v>
      </c>
      <c r="B50">
        <f>B47</f>
        <v>3</v>
      </c>
      <c r="C50" t="s">
        <v>56</v>
      </c>
      <c r="D50">
        <f>B48</f>
        <v>3</v>
      </c>
    </row>
    <row r="51" spans="1:5" x14ac:dyDescent="0.25">
      <c r="B51" t="s">
        <v>58</v>
      </c>
    </row>
    <row r="53" spans="1:5" x14ac:dyDescent="0.25">
      <c r="A53" t="s">
        <v>80</v>
      </c>
      <c r="B53">
        <f>SUMPRODUCT($H$2:$H$31,$C$2:$C$31)</f>
        <v>3</v>
      </c>
      <c r="C53" t="s">
        <v>49</v>
      </c>
      <c r="D53">
        <v>3</v>
      </c>
      <c r="E53" t="s">
        <v>81</v>
      </c>
    </row>
    <row r="54" spans="1:5" x14ac:dyDescent="0.25">
      <c r="B54">
        <f>SUMPRODUCT($H$2:$H$31,$D$2:$D$31)</f>
        <v>3</v>
      </c>
      <c r="C54" t="s">
        <v>49</v>
      </c>
      <c r="D54">
        <v>3</v>
      </c>
    </row>
    <row r="55" spans="1:5" x14ac:dyDescent="0.25">
      <c r="B55">
        <f>SUMPRODUCT($H$2:$H$31,$E$2:$E$31)</f>
        <v>3</v>
      </c>
      <c r="C55" t="s">
        <v>49</v>
      </c>
      <c r="D55">
        <v>3</v>
      </c>
    </row>
    <row r="56" spans="1:5" x14ac:dyDescent="0.25">
      <c r="B56">
        <f>SUMPRODUCT($H$2:$H$31,$F$2:$F$31)</f>
        <v>3</v>
      </c>
      <c r="C56" t="s">
        <v>49</v>
      </c>
      <c r="D56">
        <v>3</v>
      </c>
    </row>
  </sheetData>
  <autoFilter ref="A1:X31">
    <sortState ref="A2:X31">
      <sortCondition ref="B1:B31"/>
    </sortState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56"/>
  <sheetViews>
    <sheetView topLeftCell="A12" workbookViewId="0">
      <selection activeCell="G2" sqref="G2:G31"/>
    </sheetView>
  </sheetViews>
  <sheetFormatPr defaultRowHeight="15" x14ac:dyDescent="0.25"/>
  <cols>
    <col min="1" max="1" width="21" bestFit="1" customWidth="1"/>
    <col min="25" max="25" width="7.28515625" customWidth="1"/>
    <col min="26" max="26" width="6.7109375" customWidth="1"/>
    <col min="27" max="27" width="6.5703125" customWidth="1"/>
  </cols>
  <sheetData>
    <row r="1" spans="1:32" ht="47.25" x14ac:dyDescent="0.25">
      <c r="A1" s="4" t="s">
        <v>25</v>
      </c>
      <c r="B1" s="4" t="s">
        <v>37</v>
      </c>
      <c r="C1" s="4" t="s">
        <v>28</v>
      </c>
      <c r="D1" s="4" t="s">
        <v>29</v>
      </c>
      <c r="E1" s="4" t="s">
        <v>30</v>
      </c>
      <c r="F1" s="4" t="s">
        <v>31</v>
      </c>
      <c r="G1" s="5" t="s">
        <v>32</v>
      </c>
      <c r="H1" s="5" t="s">
        <v>26</v>
      </c>
      <c r="I1" s="5" t="s">
        <v>27</v>
      </c>
      <c r="J1" s="13" t="s">
        <v>46</v>
      </c>
      <c r="K1" s="13" t="s">
        <v>43</v>
      </c>
      <c r="L1" s="13" t="s">
        <v>44</v>
      </c>
      <c r="M1" s="8" t="s">
        <v>51</v>
      </c>
      <c r="N1" s="8" t="s">
        <v>50</v>
      </c>
      <c r="O1" s="8" t="s">
        <v>52</v>
      </c>
      <c r="P1" s="8" t="s">
        <v>53</v>
      </c>
      <c r="Q1" s="8" t="s">
        <v>66</v>
      </c>
      <c r="R1" s="8" t="s">
        <v>67</v>
      </c>
      <c r="S1" s="8" t="s">
        <v>68</v>
      </c>
      <c r="T1" s="8" t="s">
        <v>69</v>
      </c>
      <c r="U1" s="8" t="s">
        <v>70</v>
      </c>
      <c r="V1" s="8" t="s">
        <v>71</v>
      </c>
      <c r="W1" s="8" t="s">
        <v>72</v>
      </c>
      <c r="X1" s="8" t="s">
        <v>73</v>
      </c>
      <c r="Y1" s="8"/>
      <c r="Z1" s="8"/>
      <c r="AA1" s="8"/>
      <c r="AB1" s="8"/>
    </row>
    <row r="2" spans="1:32" ht="15.75" x14ac:dyDescent="0.25">
      <c r="A2" s="18" t="s">
        <v>16</v>
      </c>
      <c r="B2" s="6">
        <v>1</v>
      </c>
      <c r="C2" s="6">
        <v>1</v>
      </c>
      <c r="D2" s="6">
        <v>0</v>
      </c>
      <c r="E2" s="6">
        <v>0</v>
      </c>
      <c r="F2" s="6">
        <v>0</v>
      </c>
      <c r="G2" s="3">
        <v>86</v>
      </c>
      <c r="H2" s="7">
        <v>0</v>
      </c>
      <c r="I2" s="7">
        <v>0</v>
      </c>
      <c r="J2" s="9">
        <f t="shared" ref="J2:J31" si="0">H2+I2</f>
        <v>0</v>
      </c>
      <c r="K2" s="9">
        <f t="shared" ref="K2:K31" si="1">(C2+D2)*(H2+I2)</f>
        <v>0</v>
      </c>
      <c r="L2" s="9">
        <f>(E2+F2)*(H2+I2)</f>
        <v>0</v>
      </c>
      <c r="M2" s="9">
        <f>C2*H2</f>
        <v>0</v>
      </c>
      <c r="N2" s="9">
        <f t="shared" ref="N2:N31" si="2">D2*H2</f>
        <v>0</v>
      </c>
      <c r="O2" s="9">
        <f t="shared" ref="O2:O31" si="3">E2*H2</f>
        <v>0</v>
      </c>
      <c r="P2" s="9">
        <f t="shared" ref="P2:P31" si="4">F2*H2</f>
        <v>0</v>
      </c>
      <c r="Q2" s="17">
        <f>H2*G2*C2</f>
        <v>0</v>
      </c>
      <c r="R2" s="17">
        <f t="shared" ref="R2:R31" si="5">I2*G2*C2</f>
        <v>0</v>
      </c>
      <c r="S2" s="17">
        <f t="shared" ref="S2:S31" si="6">H2*G2*D2</f>
        <v>0</v>
      </c>
      <c r="T2" s="17">
        <f t="shared" ref="T2:T31" si="7">I2*G2*D2</f>
        <v>0</v>
      </c>
      <c r="U2" s="17">
        <f>H2*G2*E2</f>
        <v>0</v>
      </c>
      <c r="V2" s="17">
        <f>I2*G2*E2</f>
        <v>0</v>
      </c>
      <c r="W2" s="17">
        <f>H2*G2*F2</f>
        <v>0</v>
      </c>
      <c r="X2" s="17">
        <f t="shared" ref="X2:X31" si="8">I2*G2*F2</f>
        <v>0</v>
      </c>
      <c r="Y2" s="11"/>
      <c r="Z2" s="11"/>
      <c r="AA2" s="11"/>
      <c r="AB2" s="11"/>
      <c r="AC2" s="11"/>
      <c r="AD2" s="11"/>
      <c r="AE2" s="11"/>
      <c r="AF2" s="11"/>
    </row>
    <row r="3" spans="1:32" ht="14.25" customHeight="1" x14ac:dyDescent="0.25">
      <c r="A3" s="18" t="s">
        <v>21</v>
      </c>
      <c r="B3" s="6">
        <v>2</v>
      </c>
      <c r="C3" s="6">
        <v>1</v>
      </c>
      <c r="D3" s="6">
        <v>0</v>
      </c>
      <c r="E3" s="6">
        <v>0</v>
      </c>
      <c r="F3" s="6">
        <v>0</v>
      </c>
      <c r="G3" s="3">
        <v>76</v>
      </c>
      <c r="H3" s="7">
        <v>0</v>
      </c>
      <c r="I3" s="7">
        <v>0</v>
      </c>
      <c r="J3" s="9">
        <f t="shared" si="0"/>
        <v>0</v>
      </c>
      <c r="K3" s="9">
        <f t="shared" si="1"/>
        <v>0</v>
      </c>
      <c r="L3" s="9">
        <f t="shared" ref="L3:L31" si="9">(E3+F3)*(H3+I3)</f>
        <v>0</v>
      </c>
      <c r="M3" s="9">
        <f t="shared" ref="M3:M31" si="10">C3*H3</f>
        <v>0</v>
      </c>
      <c r="N3" s="9">
        <f t="shared" si="2"/>
        <v>0</v>
      </c>
      <c r="O3" s="9">
        <f t="shared" si="3"/>
        <v>0</v>
      </c>
      <c r="P3" s="9">
        <f t="shared" si="4"/>
        <v>0</v>
      </c>
      <c r="Q3" s="17">
        <f t="shared" ref="Q3:Q31" si="11">H3*G3*C3</f>
        <v>0</v>
      </c>
      <c r="R3" s="17">
        <f t="shared" si="5"/>
        <v>0</v>
      </c>
      <c r="S3" s="17">
        <f t="shared" si="6"/>
        <v>0</v>
      </c>
      <c r="T3" s="17">
        <f t="shared" si="7"/>
        <v>0</v>
      </c>
      <c r="U3" s="17">
        <f t="shared" ref="U3:U31" si="12">H3*G3*E3</f>
        <v>0</v>
      </c>
      <c r="V3" s="17">
        <f t="shared" ref="V3:V31" si="13">I3*G3*E3</f>
        <v>0</v>
      </c>
      <c r="W3" s="17">
        <f t="shared" ref="W3:W31" si="14">H3*G3*F3</f>
        <v>0</v>
      </c>
      <c r="X3" s="17">
        <f t="shared" si="8"/>
        <v>0</v>
      </c>
      <c r="Y3" s="11"/>
      <c r="Z3" s="11"/>
      <c r="AA3" s="11"/>
      <c r="AB3" s="11"/>
      <c r="AC3" s="11"/>
      <c r="AD3" s="11"/>
      <c r="AE3" s="11"/>
      <c r="AF3" s="11"/>
    </row>
    <row r="4" spans="1:32" ht="15.75" x14ac:dyDescent="0.25">
      <c r="A4" s="18" t="s">
        <v>39</v>
      </c>
      <c r="B4" s="6">
        <v>3</v>
      </c>
      <c r="C4" s="6">
        <v>1</v>
      </c>
      <c r="D4" s="6">
        <v>0</v>
      </c>
      <c r="E4" s="6">
        <v>0</v>
      </c>
      <c r="F4" s="6">
        <v>0</v>
      </c>
      <c r="G4" s="3">
        <v>84</v>
      </c>
      <c r="H4" s="7">
        <v>0</v>
      </c>
      <c r="I4" s="7">
        <v>0</v>
      </c>
      <c r="J4" s="9">
        <f t="shared" si="0"/>
        <v>0</v>
      </c>
      <c r="K4" s="9">
        <f t="shared" si="1"/>
        <v>0</v>
      </c>
      <c r="L4" s="9">
        <f t="shared" si="9"/>
        <v>0</v>
      </c>
      <c r="M4" s="9">
        <f t="shared" si="10"/>
        <v>0</v>
      </c>
      <c r="N4" s="9">
        <f t="shared" si="2"/>
        <v>0</v>
      </c>
      <c r="O4" s="9">
        <f t="shared" si="3"/>
        <v>0</v>
      </c>
      <c r="P4" s="9">
        <f t="shared" si="4"/>
        <v>0</v>
      </c>
      <c r="Q4" s="17">
        <f t="shared" si="11"/>
        <v>0</v>
      </c>
      <c r="R4" s="17">
        <f t="shared" si="5"/>
        <v>0</v>
      </c>
      <c r="S4" s="17">
        <f t="shared" si="6"/>
        <v>0</v>
      </c>
      <c r="T4" s="17">
        <f t="shared" si="7"/>
        <v>0</v>
      </c>
      <c r="U4" s="17">
        <f t="shared" si="12"/>
        <v>0</v>
      </c>
      <c r="V4" s="17">
        <f t="shared" si="13"/>
        <v>0</v>
      </c>
      <c r="W4" s="17">
        <f t="shared" si="14"/>
        <v>0</v>
      </c>
      <c r="X4" s="17">
        <f t="shared" si="8"/>
        <v>0</v>
      </c>
      <c r="Y4" s="11"/>
      <c r="Z4" s="11"/>
      <c r="AA4" s="11"/>
      <c r="AB4" s="11"/>
      <c r="AC4" s="11"/>
      <c r="AD4" s="11"/>
      <c r="AE4" s="11"/>
      <c r="AF4" s="11"/>
    </row>
    <row r="5" spans="1:32" ht="15.75" x14ac:dyDescent="0.25">
      <c r="A5" s="18" t="s">
        <v>40</v>
      </c>
      <c r="B5" s="6">
        <v>4</v>
      </c>
      <c r="C5" s="6">
        <v>1</v>
      </c>
      <c r="D5" s="6">
        <v>0</v>
      </c>
      <c r="E5" s="6">
        <v>0</v>
      </c>
      <c r="F5" s="6">
        <v>0</v>
      </c>
      <c r="G5" s="3">
        <v>100</v>
      </c>
      <c r="H5" s="7">
        <v>1</v>
      </c>
      <c r="I5" s="7">
        <v>0</v>
      </c>
      <c r="J5" s="9">
        <f t="shared" si="0"/>
        <v>1</v>
      </c>
      <c r="K5" s="9">
        <f t="shared" si="1"/>
        <v>1</v>
      </c>
      <c r="L5" s="9">
        <f t="shared" si="9"/>
        <v>0</v>
      </c>
      <c r="M5" s="9">
        <f t="shared" si="10"/>
        <v>1</v>
      </c>
      <c r="N5" s="9">
        <f t="shared" si="2"/>
        <v>0</v>
      </c>
      <c r="O5" s="9">
        <f t="shared" si="3"/>
        <v>0</v>
      </c>
      <c r="P5" s="9">
        <f t="shared" si="4"/>
        <v>0</v>
      </c>
      <c r="Q5" s="17">
        <f t="shared" si="11"/>
        <v>100</v>
      </c>
      <c r="R5" s="17">
        <f t="shared" si="5"/>
        <v>0</v>
      </c>
      <c r="S5" s="17">
        <f t="shared" si="6"/>
        <v>0</v>
      </c>
      <c r="T5" s="17">
        <f t="shared" si="7"/>
        <v>0</v>
      </c>
      <c r="U5" s="17">
        <f t="shared" si="12"/>
        <v>0</v>
      </c>
      <c r="V5" s="17">
        <f t="shared" si="13"/>
        <v>0</v>
      </c>
      <c r="W5" s="17">
        <f t="shared" si="14"/>
        <v>0</v>
      </c>
      <c r="X5" s="17">
        <f t="shared" si="8"/>
        <v>0</v>
      </c>
      <c r="Y5" s="11"/>
      <c r="Z5" s="11"/>
      <c r="AA5" s="11"/>
      <c r="AB5" s="11"/>
      <c r="AC5" s="11"/>
      <c r="AD5" s="11"/>
      <c r="AE5" s="11"/>
      <c r="AF5" s="11"/>
    </row>
    <row r="6" spans="1:32" ht="15.75" x14ac:dyDescent="0.25">
      <c r="A6" s="18" t="s">
        <v>41</v>
      </c>
      <c r="B6" s="6">
        <v>5</v>
      </c>
      <c r="C6" s="6">
        <v>1</v>
      </c>
      <c r="D6" s="6">
        <v>0</v>
      </c>
      <c r="E6" s="6">
        <v>0</v>
      </c>
      <c r="F6" s="6">
        <v>0</v>
      </c>
      <c r="G6" s="3">
        <v>101</v>
      </c>
      <c r="H6" s="7">
        <v>1</v>
      </c>
      <c r="I6" s="7">
        <v>0</v>
      </c>
      <c r="J6" s="9">
        <f t="shared" si="0"/>
        <v>1</v>
      </c>
      <c r="K6" s="9">
        <f t="shared" si="1"/>
        <v>1</v>
      </c>
      <c r="L6" s="9">
        <f t="shared" si="9"/>
        <v>0</v>
      </c>
      <c r="M6" s="9">
        <f t="shared" si="10"/>
        <v>1</v>
      </c>
      <c r="N6" s="9">
        <f t="shared" si="2"/>
        <v>0</v>
      </c>
      <c r="O6" s="9">
        <f t="shared" si="3"/>
        <v>0</v>
      </c>
      <c r="P6" s="9">
        <f t="shared" si="4"/>
        <v>0</v>
      </c>
      <c r="Q6" s="17">
        <f t="shared" si="11"/>
        <v>101</v>
      </c>
      <c r="R6" s="17">
        <f t="shared" si="5"/>
        <v>0</v>
      </c>
      <c r="S6" s="17">
        <f t="shared" si="6"/>
        <v>0</v>
      </c>
      <c r="T6" s="17">
        <f t="shared" si="7"/>
        <v>0</v>
      </c>
      <c r="U6" s="17">
        <f t="shared" si="12"/>
        <v>0</v>
      </c>
      <c r="V6" s="17">
        <f t="shared" si="13"/>
        <v>0</v>
      </c>
      <c r="W6" s="17">
        <f t="shared" si="14"/>
        <v>0</v>
      </c>
      <c r="X6" s="17">
        <f t="shared" si="8"/>
        <v>0</v>
      </c>
      <c r="Y6" s="11"/>
      <c r="Z6" s="11"/>
      <c r="AA6" s="11"/>
      <c r="AB6" s="11"/>
      <c r="AC6" s="11"/>
      <c r="AD6" s="11"/>
      <c r="AE6" s="11"/>
      <c r="AF6" s="11"/>
    </row>
    <row r="7" spans="1:32" ht="15.75" x14ac:dyDescent="0.25">
      <c r="A7" s="18" t="s">
        <v>9</v>
      </c>
      <c r="B7" s="6">
        <v>6</v>
      </c>
      <c r="C7" s="6">
        <v>1</v>
      </c>
      <c r="D7" s="6">
        <v>0</v>
      </c>
      <c r="E7" s="6">
        <v>0</v>
      </c>
      <c r="F7" s="6">
        <v>0</v>
      </c>
      <c r="G7" s="3">
        <v>96</v>
      </c>
      <c r="H7" s="7">
        <v>0</v>
      </c>
      <c r="I7" s="7">
        <v>0</v>
      </c>
      <c r="J7" s="9">
        <f t="shared" si="0"/>
        <v>0</v>
      </c>
      <c r="K7" s="9">
        <f t="shared" si="1"/>
        <v>0</v>
      </c>
      <c r="L7" s="9">
        <f t="shared" si="9"/>
        <v>0</v>
      </c>
      <c r="M7" s="9">
        <f t="shared" si="10"/>
        <v>0</v>
      </c>
      <c r="N7" s="9">
        <f t="shared" si="2"/>
        <v>0</v>
      </c>
      <c r="O7" s="9">
        <f t="shared" si="3"/>
        <v>0</v>
      </c>
      <c r="P7" s="9">
        <f t="shared" si="4"/>
        <v>0</v>
      </c>
      <c r="Q7" s="17">
        <f t="shared" si="11"/>
        <v>0</v>
      </c>
      <c r="R7" s="17">
        <f t="shared" si="5"/>
        <v>0</v>
      </c>
      <c r="S7" s="17">
        <f t="shared" si="6"/>
        <v>0</v>
      </c>
      <c r="T7" s="17">
        <f t="shared" si="7"/>
        <v>0</v>
      </c>
      <c r="U7" s="17">
        <f t="shared" si="12"/>
        <v>0</v>
      </c>
      <c r="V7" s="17">
        <f t="shared" si="13"/>
        <v>0</v>
      </c>
      <c r="W7" s="17">
        <f t="shared" si="14"/>
        <v>0</v>
      </c>
      <c r="X7" s="17">
        <f t="shared" si="8"/>
        <v>0</v>
      </c>
      <c r="Y7" s="11"/>
      <c r="Z7" s="11"/>
      <c r="AA7" s="11"/>
      <c r="AB7" s="11"/>
      <c r="AC7" s="11"/>
      <c r="AD7" s="11"/>
      <c r="AE7" s="11"/>
      <c r="AF7" s="11"/>
    </row>
    <row r="8" spans="1:32" ht="15.75" x14ac:dyDescent="0.25">
      <c r="A8" s="18" t="s">
        <v>42</v>
      </c>
      <c r="B8" s="6">
        <v>7</v>
      </c>
      <c r="C8" s="6">
        <v>1</v>
      </c>
      <c r="D8" s="6">
        <v>0</v>
      </c>
      <c r="E8" s="6">
        <v>0</v>
      </c>
      <c r="F8" s="6">
        <v>0</v>
      </c>
      <c r="G8" s="3">
        <v>104</v>
      </c>
      <c r="H8" s="7">
        <v>1</v>
      </c>
      <c r="I8" s="7">
        <v>0</v>
      </c>
      <c r="J8" s="9">
        <f t="shared" si="0"/>
        <v>1</v>
      </c>
      <c r="K8" s="9">
        <f t="shared" si="1"/>
        <v>1</v>
      </c>
      <c r="L8" s="9">
        <f t="shared" si="9"/>
        <v>0</v>
      </c>
      <c r="M8" s="9">
        <f t="shared" si="10"/>
        <v>1</v>
      </c>
      <c r="N8" s="9">
        <f t="shared" si="2"/>
        <v>0</v>
      </c>
      <c r="O8" s="9">
        <f t="shared" si="3"/>
        <v>0</v>
      </c>
      <c r="P8" s="9">
        <f t="shared" si="4"/>
        <v>0</v>
      </c>
      <c r="Q8" s="17">
        <f t="shared" si="11"/>
        <v>104</v>
      </c>
      <c r="R8" s="17">
        <f t="shared" si="5"/>
        <v>0</v>
      </c>
      <c r="S8" s="17">
        <f t="shared" si="6"/>
        <v>0</v>
      </c>
      <c r="T8" s="17">
        <f t="shared" si="7"/>
        <v>0</v>
      </c>
      <c r="U8" s="17">
        <f t="shared" si="12"/>
        <v>0</v>
      </c>
      <c r="V8" s="17">
        <f t="shared" si="13"/>
        <v>0</v>
      </c>
      <c r="W8" s="17">
        <f t="shared" si="14"/>
        <v>0</v>
      </c>
      <c r="X8" s="17">
        <f t="shared" si="8"/>
        <v>0</v>
      </c>
      <c r="Y8" s="11"/>
      <c r="Z8" s="11"/>
      <c r="AA8" s="11"/>
      <c r="AB8" s="11"/>
      <c r="AC8" s="11"/>
      <c r="AD8" s="11"/>
      <c r="AE8" s="11"/>
      <c r="AF8" s="11"/>
    </row>
    <row r="9" spans="1:32" ht="15.75" x14ac:dyDescent="0.25">
      <c r="A9" s="18" t="s">
        <v>0</v>
      </c>
      <c r="B9" s="6">
        <v>8</v>
      </c>
      <c r="C9" s="6">
        <v>1</v>
      </c>
      <c r="D9" s="6">
        <v>0</v>
      </c>
      <c r="E9" s="6">
        <v>0</v>
      </c>
      <c r="F9" s="6">
        <v>0</v>
      </c>
      <c r="G9" s="3">
        <v>120</v>
      </c>
      <c r="H9" s="7">
        <v>1</v>
      </c>
      <c r="I9" s="7">
        <v>0</v>
      </c>
      <c r="J9" s="9">
        <f t="shared" si="0"/>
        <v>1</v>
      </c>
      <c r="K9" s="9">
        <f t="shared" si="1"/>
        <v>1</v>
      </c>
      <c r="L9" s="9">
        <f t="shared" si="9"/>
        <v>0</v>
      </c>
      <c r="M9" s="9">
        <f t="shared" si="10"/>
        <v>1</v>
      </c>
      <c r="N9" s="9">
        <f t="shared" si="2"/>
        <v>0</v>
      </c>
      <c r="O9" s="9">
        <f t="shared" si="3"/>
        <v>0</v>
      </c>
      <c r="P9" s="9">
        <f t="shared" si="4"/>
        <v>0</v>
      </c>
      <c r="Q9" s="17">
        <f t="shared" si="11"/>
        <v>120</v>
      </c>
      <c r="R9" s="17">
        <f t="shared" si="5"/>
        <v>0</v>
      </c>
      <c r="S9" s="17">
        <f t="shared" si="6"/>
        <v>0</v>
      </c>
      <c r="T9" s="17">
        <f t="shared" si="7"/>
        <v>0</v>
      </c>
      <c r="U9" s="17">
        <f t="shared" si="12"/>
        <v>0</v>
      </c>
      <c r="V9" s="17">
        <f t="shared" si="13"/>
        <v>0</v>
      </c>
      <c r="W9" s="17">
        <f t="shared" si="14"/>
        <v>0</v>
      </c>
      <c r="X9" s="17">
        <f t="shared" si="8"/>
        <v>0</v>
      </c>
      <c r="Y9" s="11"/>
      <c r="Z9" s="11"/>
      <c r="AA9" s="11"/>
      <c r="AB9" s="11"/>
      <c r="AC9" s="11"/>
      <c r="AD9" s="11"/>
      <c r="AE9" s="11"/>
      <c r="AF9" s="11"/>
    </row>
    <row r="10" spans="1:32" ht="15" customHeight="1" x14ac:dyDescent="0.25">
      <c r="A10" s="19" t="s">
        <v>8</v>
      </c>
      <c r="B10" s="6">
        <v>9</v>
      </c>
      <c r="C10" s="6">
        <v>0</v>
      </c>
      <c r="D10" s="6">
        <v>1</v>
      </c>
      <c r="E10" s="6">
        <v>0</v>
      </c>
      <c r="F10" s="6">
        <v>0</v>
      </c>
      <c r="G10" s="3">
        <v>93</v>
      </c>
      <c r="H10" s="7">
        <v>1</v>
      </c>
      <c r="I10" s="7">
        <v>0</v>
      </c>
      <c r="J10" s="9">
        <f t="shared" si="0"/>
        <v>1</v>
      </c>
      <c r="K10" s="9">
        <f t="shared" si="1"/>
        <v>1</v>
      </c>
      <c r="L10" s="9">
        <f t="shared" si="9"/>
        <v>0</v>
      </c>
      <c r="M10" s="9">
        <f t="shared" si="10"/>
        <v>0</v>
      </c>
      <c r="N10" s="9">
        <f t="shared" si="2"/>
        <v>1</v>
      </c>
      <c r="O10" s="9">
        <f t="shared" si="3"/>
        <v>0</v>
      </c>
      <c r="P10" s="9">
        <f t="shared" si="4"/>
        <v>0</v>
      </c>
      <c r="Q10" s="15">
        <f t="shared" si="11"/>
        <v>0</v>
      </c>
      <c r="R10" s="15">
        <f t="shared" si="5"/>
        <v>0</v>
      </c>
      <c r="S10" s="15">
        <f t="shared" si="6"/>
        <v>93</v>
      </c>
      <c r="T10" s="15">
        <f t="shared" si="7"/>
        <v>0</v>
      </c>
      <c r="U10" s="15">
        <f t="shared" si="12"/>
        <v>0</v>
      </c>
      <c r="V10" s="15">
        <f t="shared" si="13"/>
        <v>0</v>
      </c>
      <c r="W10" s="15">
        <f t="shared" si="14"/>
        <v>0</v>
      </c>
      <c r="X10" s="15">
        <f t="shared" si="8"/>
        <v>0</v>
      </c>
      <c r="Y10" s="11"/>
      <c r="Z10" s="11"/>
      <c r="AA10" s="11"/>
      <c r="AB10" s="11"/>
      <c r="AC10" s="11"/>
      <c r="AD10" s="11"/>
      <c r="AE10" s="11"/>
      <c r="AF10" s="11"/>
    </row>
    <row r="11" spans="1:32" ht="15.75" x14ac:dyDescent="0.25">
      <c r="A11" s="19" t="s">
        <v>17</v>
      </c>
      <c r="B11" s="6">
        <v>10</v>
      </c>
      <c r="C11" s="6">
        <v>0</v>
      </c>
      <c r="D11" s="6">
        <v>1</v>
      </c>
      <c r="E11" s="6">
        <v>0</v>
      </c>
      <c r="F11" s="6">
        <v>0</v>
      </c>
      <c r="G11" s="3">
        <v>81</v>
      </c>
      <c r="H11" s="7">
        <v>0</v>
      </c>
      <c r="I11" s="7">
        <v>0</v>
      </c>
      <c r="J11" s="9">
        <f t="shared" si="0"/>
        <v>0</v>
      </c>
      <c r="K11" s="9">
        <f t="shared" si="1"/>
        <v>0</v>
      </c>
      <c r="L11" s="9">
        <f t="shared" si="9"/>
        <v>0</v>
      </c>
      <c r="M11" s="9">
        <f t="shared" si="10"/>
        <v>0</v>
      </c>
      <c r="N11" s="9">
        <f t="shared" si="2"/>
        <v>0</v>
      </c>
      <c r="O11" s="9">
        <f t="shared" si="3"/>
        <v>0</v>
      </c>
      <c r="P11" s="9">
        <f t="shared" si="4"/>
        <v>0</v>
      </c>
      <c r="Q11" s="15">
        <f t="shared" si="11"/>
        <v>0</v>
      </c>
      <c r="R11" s="15">
        <f t="shared" si="5"/>
        <v>0</v>
      </c>
      <c r="S11" s="15">
        <f t="shared" si="6"/>
        <v>0</v>
      </c>
      <c r="T11" s="15">
        <f t="shared" si="7"/>
        <v>0</v>
      </c>
      <c r="U11" s="15">
        <f t="shared" si="12"/>
        <v>0</v>
      </c>
      <c r="V11" s="15">
        <f t="shared" si="13"/>
        <v>0</v>
      </c>
      <c r="W11" s="15">
        <f t="shared" si="14"/>
        <v>0</v>
      </c>
      <c r="X11" s="15">
        <f t="shared" si="8"/>
        <v>0</v>
      </c>
      <c r="Y11" s="11"/>
      <c r="Z11" s="11"/>
      <c r="AA11" s="11"/>
      <c r="AB11" s="11"/>
      <c r="AC11" s="11"/>
      <c r="AD11" s="11"/>
      <c r="AE11" s="11"/>
      <c r="AF11" s="11"/>
    </row>
    <row r="12" spans="1:32" ht="15.75" x14ac:dyDescent="0.25">
      <c r="A12" s="19" t="s">
        <v>11</v>
      </c>
      <c r="B12" s="6">
        <v>11</v>
      </c>
      <c r="C12" s="6">
        <v>0</v>
      </c>
      <c r="D12" s="6">
        <v>1</v>
      </c>
      <c r="E12" s="6">
        <v>0</v>
      </c>
      <c r="F12" s="6">
        <v>0</v>
      </c>
      <c r="G12" s="3">
        <v>93</v>
      </c>
      <c r="H12" s="7">
        <v>1</v>
      </c>
      <c r="I12" s="7">
        <v>0</v>
      </c>
      <c r="J12" s="9">
        <f t="shared" si="0"/>
        <v>1</v>
      </c>
      <c r="K12" s="9">
        <f t="shared" si="1"/>
        <v>1</v>
      </c>
      <c r="L12" s="9">
        <f t="shared" si="9"/>
        <v>0</v>
      </c>
      <c r="M12" s="9">
        <f t="shared" si="10"/>
        <v>0</v>
      </c>
      <c r="N12" s="9">
        <f t="shared" si="2"/>
        <v>1</v>
      </c>
      <c r="O12" s="9">
        <f t="shared" si="3"/>
        <v>0</v>
      </c>
      <c r="P12" s="9">
        <f t="shared" si="4"/>
        <v>0</v>
      </c>
      <c r="Q12" s="15">
        <f t="shared" si="11"/>
        <v>0</v>
      </c>
      <c r="R12" s="15">
        <f t="shared" si="5"/>
        <v>0</v>
      </c>
      <c r="S12" s="15">
        <f t="shared" si="6"/>
        <v>93</v>
      </c>
      <c r="T12" s="15">
        <f t="shared" si="7"/>
        <v>0</v>
      </c>
      <c r="U12" s="15">
        <f t="shared" si="12"/>
        <v>0</v>
      </c>
      <c r="V12" s="15">
        <f t="shared" si="13"/>
        <v>0</v>
      </c>
      <c r="W12" s="15">
        <f t="shared" si="14"/>
        <v>0</v>
      </c>
      <c r="X12" s="15">
        <f t="shared" si="8"/>
        <v>0</v>
      </c>
      <c r="Y12" s="11"/>
      <c r="Z12" s="11"/>
      <c r="AA12" s="11"/>
      <c r="AB12" s="11"/>
      <c r="AC12" s="11"/>
      <c r="AD12" s="11"/>
      <c r="AE12" s="11"/>
      <c r="AF12" s="11"/>
    </row>
    <row r="13" spans="1:32" ht="15.75" x14ac:dyDescent="0.25">
      <c r="A13" s="19" t="s">
        <v>3</v>
      </c>
      <c r="B13" s="6">
        <v>12</v>
      </c>
      <c r="C13" s="6">
        <v>0</v>
      </c>
      <c r="D13" s="6">
        <v>1</v>
      </c>
      <c r="E13" s="6">
        <v>0</v>
      </c>
      <c r="F13" s="6">
        <v>0</v>
      </c>
      <c r="G13" s="3">
        <v>103</v>
      </c>
      <c r="H13" s="7">
        <v>1</v>
      </c>
      <c r="I13" s="7">
        <v>0</v>
      </c>
      <c r="J13" s="9">
        <f t="shared" si="0"/>
        <v>1</v>
      </c>
      <c r="K13" s="9">
        <f t="shared" si="1"/>
        <v>1</v>
      </c>
      <c r="L13" s="9">
        <f t="shared" si="9"/>
        <v>0</v>
      </c>
      <c r="M13" s="9">
        <f t="shared" si="10"/>
        <v>0</v>
      </c>
      <c r="N13" s="9">
        <f t="shared" si="2"/>
        <v>1</v>
      </c>
      <c r="O13" s="9">
        <f t="shared" si="3"/>
        <v>0</v>
      </c>
      <c r="P13" s="9">
        <f t="shared" si="4"/>
        <v>0</v>
      </c>
      <c r="Q13" s="15">
        <f t="shared" si="11"/>
        <v>0</v>
      </c>
      <c r="R13" s="15">
        <f t="shared" si="5"/>
        <v>0</v>
      </c>
      <c r="S13" s="15">
        <f t="shared" si="6"/>
        <v>103</v>
      </c>
      <c r="T13" s="15">
        <f t="shared" si="7"/>
        <v>0</v>
      </c>
      <c r="U13" s="15">
        <f t="shared" si="12"/>
        <v>0</v>
      </c>
      <c r="V13" s="15">
        <f t="shared" si="13"/>
        <v>0</v>
      </c>
      <c r="W13" s="15">
        <f t="shared" si="14"/>
        <v>0</v>
      </c>
      <c r="X13" s="15">
        <f t="shared" si="8"/>
        <v>0</v>
      </c>
      <c r="Y13" s="11"/>
      <c r="Z13" s="11"/>
      <c r="AA13" s="11"/>
      <c r="AB13" s="11"/>
      <c r="AC13" s="11"/>
      <c r="AD13" s="11"/>
      <c r="AE13" s="11"/>
      <c r="AF13" s="11"/>
    </row>
    <row r="14" spans="1:32" ht="15.75" x14ac:dyDescent="0.25">
      <c r="A14" s="19" t="s">
        <v>15</v>
      </c>
      <c r="B14" s="6">
        <v>13</v>
      </c>
      <c r="C14" s="6">
        <v>0</v>
      </c>
      <c r="D14" s="6">
        <v>1</v>
      </c>
      <c r="E14" s="6">
        <v>0</v>
      </c>
      <c r="F14" s="6">
        <v>0</v>
      </c>
      <c r="G14" s="3">
        <v>82</v>
      </c>
      <c r="H14" s="7">
        <v>0</v>
      </c>
      <c r="I14" s="7">
        <v>0</v>
      </c>
      <c r="J14" s="9">
        <f t="shared" si="0"/>
        <v>0</v>
      </c>
      <c r="K14" s="9">
        <f t="shared" si="1"/>
        <v>0</v>
      </c>
      <c r="L14" s="9">
        <f t="shared" si="9"/>
        <v>0</v>
      </c>
      <c r="M14" s="9">
        <f t="shared" si="10"/>
        <v>0</v>
      </c>
      <c r="N14" s="9">
        <f t="shared" si="2"/>
        <v>0</v>
      </c>
      <c r="O14" s="9">
        <f t="shared" si="3"/>
        <v>0</v>
      </c>
      <c r="P14" s="9">
        <f t="shared" si="4"/>
        <v>0</v>
      </c>
      <c r="Q14" s="15">
        <f t="shared" si="11"/>
        <v>0</v>
      </c>
      <c r="R14" s="15">
        <f t="shared" si="5"/>
        <v>0</v>
      </c>
      <c r="S14" s="15">
        <f t="shared" si="6"/>
        <v>0</v>
      </c>
      <c r="T14" s="15">
        <f t="shared" si="7"/>
        <v>0</v>
      </c>
      <c r="U14" s="15">
        <f t="shared" si="12"/>
        <v>0</v>
      </c>
      <c r="V14" s="15">
        <f t="shared" si="13"/>
        <v>0</v>
      </c>
      <c r="W14" s="15">
        <f t="shared" si="14"/>
        <v>0</v>
      </c>
      <c r="X14" s="15">
        <f t="shared" si="8"/>
        <v>0</v>
      </c>
      <c r="Y14" s="11"/>
      <c r="Z14" s="11"/>
      <c r="AA14" s="11"/>
      <c r="AB14" s="11"/>
      <c r="AC14" s="11"/>
      <c r="AD14" s="11"/>
      <c r="AE14" s="11"/>
      <c r="AF14" s="11"/>
    </row>
    <row r="15" spans="1:32" ht="15.75" x14ac:dyDescent="0.25">
      <c r="A15" s="19" t="s">
        <v>14</v>
      </c>
      <c r="B15" s="6">
        <v>14</v>
      </c>
      <c r="C15" s="6">
        <v>0</v>
      </c>
      <c r="D15" s="6">
        <v>1</v>
      </c>
      <c r="E15" s="6">
        <v>0</v>
      </c>
      <c r="F15" s="6">
        <v>0</v>
      </c>
      <c r="G15" s="3">
        <v>85</v>
      </c>
      <c r="H15" s="7">
        <v>0</v>
      </c>
      <c r="I15" s="7">
        <v>0</v>
      </c>
      <c r="J15" s="9">
        <f t="shared" si="0"/>
        <v>0</v>
      </c>
      <c r="K15" s="9">
        <f t="shared" si="1"/>
        <v>0</v>
      </c>
      <c r="L15" s="9">
        <f t="shared" si="9"/>
        <v>0</v>
      </c>
      <c r="M15" s="9">
        <f t="shared" si="10"/>
        <v>0</v>
      </c>
      <c r="N15" s="9">
        <f t="shared" si="2"/>
        <v>0</v>
      </c>
      <c r="O15" s="9">
        <f t="shared" si="3"/>
        <v>0</v>
      </c>
      <c r="P15" s="9">
        <f t="shared" si="4"/>
        <v>0</v>
      </c>
      <c r="Q15" s="15">
        <f t="shared" si="11"/>
        <v>0</v>
      </c>
      <c r="R15" s="15">
        <f t="shared" si="5"/>
        <v>0</v>
      </c>
      <c r="S15" s="15">
        <f t="shared" si="6"/>
        <v>0</v>
      </c>
      <c r="T15" s="15">
        <f t="shared" si="7"/>
        <v>0</v>
      </c>
      <c r="U15" s="15">
        <f t="shared" si="12"/>
        <v>0</v>
      </c>
      <c r="V15" s="15">
        <f t="shared" si="13"/>
        <v>0</v>
      </c>
      <c r="W15" s="15">
        <f t="shared" si="14"/>
        <v>0</v>
      </c>
      <c r="X15" s="15">
        <f t="shared" si="8"/>
        <v>0</v>
      </c>
      <c r="Y15" s="11"/>
      <c r="Z15" s="11"/>
      <c r="AA15" s="11"/>
      <c r="AB15" s="11"/>
      <c r="AC15" s="11"/>
      <c r="AD15" s="11"/>
      <c r="AE15" s="11"/>
      <c r="AF15" s="11"/>
    </row>
    <row r="16" spans="1:32" ht="15.75" x14ac:dyDescent="0.25">
      <c r="A16" s="19" t="s">
        <v>7</v>
      </c>
      <c r="B16" s="6">
        <v>15</v>
      </c>
      <c r="C16" s="6">
        <v>0</v>
      </c>
      <c r="D16" s="6">
        <v>1</v>
      </c>
      <c r="E16" s="6">
        <v>0</v>
      </c>
      <c r="F16" s="6">
        <v>0</v>
      </c>
      <c r="G16" s="3">
        <v>97</v>
      </c>
      <c r="H16" s="7">
        <v>1</v>
      </c>
      <c r="I16" s="7">
        <v>0</v>
      </c>
      <c r="J16" s="9">
        <f t="shared" si="0"/>
        <v>1</v>
      </c>
      <c r="K16" s="9">
        <f t="shared" si="1"/>
        <v>1</v>
      </c>
      <c r="L16" s="9">
        <f t="shared" si="9"/>
        <v>0</v>
      </c>
      <c r="M16" s="9">
        <f t="shared" si="10"/>
        <v>0</v>
      </c>
      <c r="N16" s="9">
        <f t="shared" si="2"/>
        <v>1</v>
      </c>
      <c r="O16" s="9">
        <f t="shared" si="3"/>
        <v>0</v>
      </c>
      <c r="P16" s="9">
        <f t="shared" si="4"/>
        <v>0</v>
      </c>
      <c r="Q16" s="15">
        <f t="shared" si="11"/>
        <v>0</v>
      </c>
      <c r="R16" s="15">
        <f t="shared" si="5"/>
        <v>0</v>
      </c>
      <c r="S16" s="15">
        <f t="shared" si="6"/>
        <v>97</v>
      </c>
      <c r="T16" s="15">
        <f t="shared" si="7"/>
        <v>0</v>
      </c>
      <c r="U16" s="15">
        <f t="shared" si="12"/>
        <v>0</v>
      </c>
      <c r="V16" s="15">
        <f t="shared" si="13"/>
        <v>0</v>
      </c>
      <c r="W16" s="15">
        <f t="shared" si="14"/>
        <v>0</v>
      </c>
      <c r="X16" s="15">
        <f t="shared" si="8"/>
        <v>0</v>
      </c>
      <c r="Y16" s="11"/>
      <c r="Z16" s="11"/>
      <c r="AA16" s="11"/>
      <c r="AB16" s="11"/>
      <c r="AC16" s="11"/>
      <c r="AD16" s="11"/>
      <c r="AE16" s="11"/>
      <c r="AF16" s="11"/>
    </row>
    <row r="17" spans="1:32" ht="15.75" x14ac:dyDescent="0.25">
      <c r="A17" s="19" t="s">
        <v>24</v>
      </c>
      <c r="B17" s="6">
        <v>16</v>
      </c>
      <c r="C17" s="6">
        <v>0</v>
      </c>
      <c r="D17" s="6">
        <v>1</v>
      </c>
      <c r="E17" s="6">
        <v>0</v>
      </c>
      <c r="F17" s="6">
        <v>0</v>
      </c>
      <c r="G17" s="3">
        <v>69</v>
      </c>
      <c r="H17" s="7">
        <v>0</v>
      </c>
      <c r="I17" s="7">
        <v>0</v>
      </c>
      <c r="J17" s="9">
        <f t="shared" si="0"/>
        <v>0</v>
      </c>
      <c r="K17" s="9">
        <f t="shared" si="1"/>
        <v>0</v>
      </c>
      <c r="L17" s="9">
        <f t="shared" si="9"/>
        <v>0</v>
      </c>
      <c r="M17" s="9">
        <f t="shared" si="10"/>
        <v>0</v>
      </c>
      <c r="N17" s="9">
        <f t="shared" si="2"/>
        <v>0</v>
      </c>
      <c r="O17" s="9">
        <f t="shared" si="3"/>
        <v>0</v>
      </c>
      <c r="P17" s="9">
        <f t="shared" si="4"/>
        <v>0</v>
      </c>
      <c r="Q17" s="15">
        <f t="shared" si="11"/>
        <v>0</v>
      </c>
      <c r="R17" s="15">
        <f t="shared" si="5"/>
        <v>0</v>
      </c>
      <c r="S17" s="15">
        <f t="shared" si="6"/>
        <v>0</v>
      </c>
      <c r="T17" s="15">
        <f t="shared" si="7"/>
        <v>0</v>
      </c>
      <c r="U17" s="15">
        <f t="shared" si="12"/>
        <v>0</v>
      </c>
      <c r="V17" s="15">
        <f t="shared" si="13"/>
        <v>0</v>
      </c>
      <c r="W17" s="15">
        <f t="shared" si="14"/>
        <v>0</v>
      </c>
      <c r="X17" s="15">
        <f t="shared" si="8"/>
        <v>0</v>
      </c>
      <c r="Y17" s="11"/>
      <c r="Z17" s="11"/>
      <c r="AA17" s="11"/>
      <c r="AB17" s="11"/>
      <c r="AC17" s="11"/>
      <c r="AD17" s="11"/>
      <c r="AE17" s="11"/>
      <c r="AF17" s="11"/>
    </row>
    <row r="18" spans="1:32" ht="15.75" x14ac:dyDescent="0.25">
      <c r="A18" s="20" t="s">
        <v>4</v>
      </c>
      <c r="B18" s="6">
        <v>17</v>
      </c>
      <c r="C18" s="6">
        <v>0</v>
      </c>
      <c r="D18" s="6">
        <v>0</v>
      </c>
      <c r="E18" s="6">
        <v>1</v>
      </c>
      <c r="F18" s="6">
        <v>0</v>
      </c>
      <c r="G18" s="3">
        <v>103</v>
      </c>
      <c r="H18" s="7">
        <v>1</v>
      </c>
      <c r="I18" s="7">
        <v>0</v>
      </c>
      <c r="J18" s="9">
        <f t="shared" si="0"/>
        <v>1</v>
      </c>
      <c r="K18" s="9">
        <f t="shared" si="1"/>
        <v>0</v>
      </c>
      <c r="L18" s="9">
        <f t="shared" si="9"/>
        <v>1</v>
      </c>
      <c r="M18" s="9">
        <f t="shared" si="10"/>
        <v>0</v>
      </c>
      <c r="N18" s="9">
        <f t="shared" si="2"/>
        <v>0</v>
      </c>
      <c r="O18" s="9">
        <f t="shared" si="3"/>
        <v>1</v>
      </c>
      <c r="P18" s="9">
        <f t="shared" si="4"/>
        <v>0</v>
      </c>
      <c r="Q18" s="16">
        <f t="shared" si="11"/>
        <v>0</v>
      </c>
      <c r="R18" s="16">
        <f t="shared" si="5"/>
        <v>0</v>
      </c>
      <c r="S18" s="16">
        <f t="shared" si="6"/>
        <v>0</v>
      </c>
      <c r="T18" s="16">
        <f t="shared" si="7"/>
        <v>0</v>
      </c>
      <c r="U18" s="16">
        <f t="shared" si="12"/>
        <v>103</v>
      </c>
      <c r="V18" s="16">
        <f t="shared" si="13"/>
        <v>0</v>
      </c>
      <c r="W18" s="16">
        <f t="shared" si="14"/>
        <v>0</v>
      </c>
      <c r="X18" s="16">
        <f t="shared" si="8"/>
        <v>0</v>
      </c>
      <c r="Y18" s="11"/>
      <c r="Z18" s="11"/>
      <c r="AA18" s="11"/>
      <c r="AB18" s="11"/>
      <c r="AC18" s="11"/>
      <c r="AD18" s="11"/>
      <c r="AE18" s="11"/>
      <c r="AF18" s="11"/>
    </row>
    <row r="19" spans="1:32" ht="15.75" x14ac:dyDescent="0.25">
      <c r="A19" s="20" t="s">
        <v>12</v>
      </c>
      <c r="B19" s="6">
        <v>18</v>
      </c>
      <c r="C19" s="6">
        <v>0</v>
      </c>
      <c r="D19" s="6">
        <v>0</v>
      </c>
      <c r="E19" s="6">
        <v>1</v>
      </c>
      <c r="F19" s="6">
        <v>0</v>
      </c>
      <c r="G19" s="3">
        <v>82</v>
      </c>
      <c r="H19" s="7">
        <v>0</v>
      </c>
      <c r="I19" s="7">
        <v>0</v>
      </c>
      <c r="J19" s="9">
        <f t="shared" si="0"/>
        <v>0</v>
      </c>
      <c r="K19" s="9">
        <f t="shared" si="1"/>
        <v>0</v>
      </c>
      <c r="L19" s="9">
        <f t="shared" si="9"/>
        <v>0</v>
      </c>
      <c r="M19" s="9">
        <f t="shared" si="10"/>
        <v>0</v>
      </c>
      <c r="N19" s="9">
        <f t="shared" si="2"/>
        <v>0</v>
      </c>
      <c r="O19" s="9">
        <f t="shared" si="3"/>
        <v>0</v>
      </c>
      <c r="P19" s="9">
        <f t="shared" si="4"/>
        <v>0</v>
      </c>
      <c r="Q19" s="16">
        <f t="shared" si="11"/>
        <v>0</v>
      </c>
      <c r="R19" s="16">
        <f t="shared" si="5"/>
        <v>0</v>
      </c>
      <c r="S19" s="16">
        <f t="shared" si="6"/>
        <v>0</v>
      </c>
      <c r="T19" s="16">
        <f t="shared" si="7"/>
        <v>0</v>
      </c>
      <c r="U19" s="16">
        <f t="shared" si="12"/>
        <v>0</v>
      </c>
      <c r="V19" s="16">
        <f t="shared" si="13"/>
        <v>0</v>
      </c>
      <c r="W19" s="16">
        <f t="shared" si="14"/>
        <v>0</v>
      </c>
      <c r="X19" s="16">
        <f t="shared" si="8"/>
        <v>0</v>
      </c>
      <c r="Y19" s="11"/>
      <c r="Z19" s="11"/>
      <c r="AA19" s="11"/>
      <c r="AB19" s="11"/>
      <c r="AC19" s="11"/>
      <c r="AD19" s="11"/>
      <c r="AE19" s="11"/>
      <c r="AF19" s="11"/>
    </row>
    <row r="20" spans="1:32" ht="15.75" x14ac:dyDescent="0.25">
      <c r="A20" s="20" t="s">
        <v>1</v>
      </c>
      <c r="B20" s="6">
        <v>19</v>
      </c>
      <c r="C20" s="6">
        <v>0</v>
      </c>
      <c r="D20" s="6">
        <v>0</v>
      </c>
      <c r="E20" s="6">
        <v>1</v>
      </c>
      <c r="F20" s="6">
        <v>0</v>
      </c>
      <c r="G20" s="3">
        <v>109</v>
      </c>
      <c r="H20" s="7">
        <v>1</v>
      </c>
      <c r="I20" s="7">
        <v>0</v>
      </c>
      <c r="J20" s="9">
        <f t="shared" si="0"/>
        <v>1</v>
      </c>
      <c r="K20" s="9">
        <f t="shared" si="1"/>
        <v>0</v>
      </c>
      <c r="L20" s="9">
        <f t="shared" si="9"/>
        <v>1</v>
      </c>
      <c r="M20" s="9">
        <f t="shared" si="10"/>
        <v>0</v>
      </c>
      <c r="N20" s="9">
        <f t="shared" si="2"/>
        <v>0</v>
      </c>
      <c r="O20" s="9">
        <f t="shared" si="3"/>
        <v>1</v>
      </c>
      <c r="P20" s="9">
        <f t="shared" si="4"/>
        <v>0</v>
      </c>
      <c r="Q20" s="16">
        <f t="shared" si="11"/>
        <v>0</v>
      </c>
      <c r="R20" s="16">
        <f t="shared" si="5"/>
        <v>0</v>
      </c>
      <c r="S20" s="16">
        <f t="shared" si="6"/>
        <v>0</v>
      </c>
      <c r="T20" s="16">
        <f t="shared" si="7"/>
        <v>0</v>
      </c>
      <c r="U20" s="16">
        <f t="shared" si="12"/>
        <v>109</v>
      </c>
      <c r="V20" s="16">
        <f t="shared" si="13"/>
        <v>0</v>
      </c>
      <c r="W20" s="16">
        <f t="shared" si="14"/>
        <v>0</v>
      </c>
      <c r="X20" s="16">
        <f t="shared" si="8"/>
        <v>0</v>
      </c>
      <c r="Y20" s="11"/>
      <c r="Z20" s="11"/>
      <c r="AA20" s="11"/>
      <c r="AB20" s="11"/>
      <c r="AC20" s="11"/>
      <c r="AD20" s="11"/>
      <c r="AE20" s="11"/>
      <c r="AF20" s="11"/>
    </row>
    <row r="21" spans="1:32" ht="15.75" x14ac:dyDescent="0.25">
      <c r="A21" s="20" t="s">
        <v>13</v>
      </c>
      <c r="B21" s="6">
        <v>20</v>
      </c>
      <c r="C21" s="6">
        <v>0</v>
      </c>
      <c r="D21" s="6">
        <v>0</v>
      </c>
      <c r="E21" s="6">
        <v>1</v>
      </c>
      <c r="F21" s="6">
        <v>0</v>
      </c>
      <c r="G21" s="3">
        <v>87</v>
      </c>
      <c r="H21" s="7">
        <v>0</v>
      </c>
      <c r="I21" s="7">
        <v>0</v>
      </c>
      <c r="J21" s="9">
        <f t="shared" si="0"/>
        <v>0</v>
      </c>
      <c r="K21" s="9">
        <f t="shared" si="1"/>
        <v>0</v>
      </c>
      <c r="L21" s="9">
        <f t="shared" si="9"/>
        <v>0</v>
      </c>
      <c r="M21" s="9">
        <f t="shared" si="10"/>
        <v>0</v>
      </c>
      <c r="N21" s="9">
        <f t="shared" si="2"/>
        <v>0</v>
      </c>
      <c r="O21" s="9">
        <f t="shared" si="3"/>
        <v>0</v>
      </c>
      <c r="P21" s="9">
        <f t="shared" si="4"/>
        <v>0</v>
      </c>
      <c r="Q21" s="16">
        <f t="shared" si="11"/>
        <v>0</v>
      </c>
      <c r="R21" s="16">
        <f t="shared" si="5"/>
        <v>0</v>
      </c>
      <c r="S21" s="16">
        <f t="shared" si="6"/>
        <v>0</v>
      </c>
      <c r="T21" s="16">
        <f t="shared" si="7"/>
        <v>0</v>
      </c>
      <c r="U21" s="16">
        <f t="shared" si="12"/>
        <v>0</v>
      </c>
      <c r="V21" s="16">
        <f t="shared" si="13"/>
        <v>0</v>
      </c>
      <c r="W21" s="16">
        <f t="shared" si="14"/>
        <v>0</v>
      </c>
      <c r="X21" s="16">
        <f t="shared" si="8"/>
        <v>0</v>
      </c>
      <c r="Y21" s="11"/>
      <c r="Z21" s="11"/>
      <c r="AA21" s="11"/>
      <c r="AB21" s="11"/>
      <c r="AC21" s="11"/>
      <c r="AD21" s="11"/>
      <c r="AE21" s="11"/>
      <c r="AF21" s="11"/>
    </row>
    <row r="22" spans="1:32" ht="15.75" x14ac:dyDescent="0.25">
      <c r="A22" s="20" t="s">
        <v>10</v>
      </c>
      <c r="B22" s="6">
        <v>21</v>
      </c>
      <c r="C22" s="6">
        <v>0</v>
      </c>
      <c r="D22" s="6">
        <v>0</v>
      </c>
      <c r="E22" s="6">
        <v>1</v>
      </c>
      <c r="F22" s="6">
        <v>0</v>
      </c>
      <c r="G22" s="3">
        <v>96</v>
      </c>
      <c r="H22" s="7">
        <v>1</v>
      </c>
      <c r="I22" s="7">
        <v>0</v>
      </c>
      <c r="J22" s="9">
        <f t="shared" si="0"/>
        <v>1</v>
      </c>
      <c r="K22" s="9">
        <f t="shared" si="1"/>
        <v>0</v>
      </c>
      <c r="L22" s="9">
        <f t="shared" si="9"/>
        <v>1</v>
      </c>
      <c r="M22" s="9">
        <f t="shared" si="10"/>
        <v>0</v>
      </c>
      <c r="N22" s="9">
        <f t="shared" si="2"/>
        <v>0</v>
      </c>
      <c r="O22" s="9">
        <f t="shared" si="3"/>
        <v>1</v>
      </c>
      <c r="P22" s="9">
        <f t="shared" si="4"/>
        <v>0</v>
      </c>
      <c r="Q22" s="16">
        <f t="shared" si="11"/>
        <v>0</v>
      </c>
      <c r="R22" s="16">
        <f t="shared" si="5"/>
        <v>0</v>
      </c>
      <c r="S22" s="16">
        <f t="shared" si="6"/>
        <v>0</v>
      </c>
      <c r="T22" s="16">
        <f t="shared" si="7"/>
        <v>0</v>
      </c>
      <c r="U22" s="16">
        <f t="shared" si="12"/>
        <v>96</v>
      </c>
      <c r="V22" s="16">
        <f t="shared" si="13"/>
        <v>0</v>
      </c>
      <c r="W22" s="16">
        <f t="shared" si="14"/>
        <v>0</v>
      </c>
      <c r="X22" s="16">
        <f t="shared" si="8"/>
        <v>0</v>
      </c>
      <c r="Y22" s="11"/>
      <c r="Z22" s="11"/>
      <c r="AA22" s="11"/>
      <c r="AB22" s="11"/>
      <c r="AC22" s="11"/>
      <c r="AD22" s="11"/>
      <c r="AE22" s="11"/>
      <c r="AF22" s="11"/>
    </row>
    <row r="23" spans="1:32" ht="15.75" x14ac:dyDescent="0.25">
      <c r="A23" s="20" t="s">
        <v>2</v>
      </c>
      <c r="B23" s="6">
        <v>22</v>
      </c>
      <c r="C23" s="6">
        <v>0</v>
      </c>
      <c r="D23" s="6">
        <v>0</v>
      </c>
      <c r="E23" s="6">
        <v>1</v>
      </c>
      <c r="F23" s="6">
        <v>0</v>
      </c>
      <c r="G23" s="3">
        <v>107</v>
      </c>
      <c r="H23" s="7">
        <v>1</v>
      </c>
      <c r="I23" s="7">
        <v>0</v>
      </c>
      <c r="J23" s="9">
        <f t="shared" si="0"/>
        <v>1</v>
      </c>
      <c r="K23" s="9">
        <f t="shared" si="1"/>
        <v>0</v>
      </c>
      <c r="L23" s="9">
        <f t="shared" si="9"/>
        <v>1</v>
      </c>
      <c r="M23" s="9">
        <f t="shared" si="10"/>
        <v>0</v>
      </c>
      <c r="N23" s="9">
        <f t="shared" si="2"/>
        <v>0</v>
      </c>
      <c r="O23" s="9">
        <f t="shared" si="3"/>
        <v>1</v>
      </c>
      <c r="P23" s="9">
        <f t="shared" si="4"/>
        <v>0</v>
      </c>
      <c r="Q23" s="16">
        <f t="shared" si="11"/>
        <v>0</v>
      </c>
      <c r="R23" s="16">
        <f t="shared" si="5"/>
        <v>0</v>
      </c>
      <c r="S23" s="16">
        <f t="shared" si="6"/>
        <v>0</v>
      </c>
      <c r="T23" s="16">
        <f t="shared" si="7"/>
        <v>0</v>
      </c>
      <c r="U23" s="16">
        <f t="shared" si="12"/>
        <v>107</v>
      </c>
      <c r="V23" s="16">
        <f t="shared" si="13"/>
        <v>0</v>
      </c>
      <c r="W23" s="16">
        <f t="shared" si="14"/>
        <v>0</v>
      </c>
      <c r="X23" s="16">
        <f t="shared" si="8"/>
        <v>0</v>
      </c>
      <c r="Y23" s="11"/>
      <c r="Z23" s="11"/>
      <c r="AA23" s="11"/>
      <c r="AB23" s="11"/>
      <c r="AC23" s="11"/>
      <c r="AD23" s="11"/>
      <c r="AE23" s="11"/>
      <c r="AF23" s="11"/>
    </row>
    <row r="24" spans="1:32" ht="15.75" x14ac:dyDescent="0.25">
      <c r="A24" s="20" t="s">
        <v>19</v>
      </c>
      <c r="B24" s="6">
        <v>23</v>
      </c>
      <c r="C24" s="6">
        <v>0</v>
      </c>
      <c r="D24" s="6">
        <v>0</v>
      </c>
      <c r="E24" s="6">
        <v>1</v>
      </c>
      <c r="F24" s="6">
        <v>0</v>
      </c>
      <c r="G24" s="3">
        <v>78</v>
      </c>
      <c r="H24" s="7">
        <v>0</v>
      </c>
      <c r="I24" s="7">
        <v>0</v>
      </c>
      <c r="J24" s="9">
        <f t="shared" si="0"/>
        <v>0</v>
      </c>
      <c r="K24" s="9">
        <f t="shared" si="1"/>
        <v>0</v>
      </c>
      <c r="L24" s="9">
        <f t="shared" si="9"/>
        <v>0</v>
      </c>
      <c r="M24" s="9">
        <f t="shared" si="10"/>
        <v>0</v>
      </c>
      <c r="N24" s="9">
        <f t="shared" si="2"/>
        <v>0</v>
      </c>
      <c r="O24" s="9">
        <f t="shared" si="3"/>
        <v>0</v>
      </c>
      <c r="P24" s="9">
        <f t="shared" si="4"/>
        <v>0</v>
      </c>
      <c r="Q24" s="16">
        <f t="shared" si="11"/>
        <v>0</v>
      </c>
      <c r="R24" s="16">
        <f t="shared" si="5"/>
        <v>0</v>
      </c>
      <c r="S24" s="16">
        <f t="shared" si="6"/>
        <v>0</v>
      </c>
      <c r="T24" s="16">
        <f t="shared" si="7"/>
        <v>0</v>
      </c>
      <c r="U24" s="16">
        <f t="shared" si="12"/>
        <v>0</v>
      </c>
      <c r="V24" s="16">
        <f t="shared" si="13"/>
        <v>0</v>
      </c>
      <c r="W24" s="16">
        <f t="shared" si="14"/>
        <v>0</v>
      </c>
      <c r="X24" s="16">
        <f t="shared" si="8"/>
        <v>0</v>
      </c>
      <c r="Y24" s="11"/>
      <c r="Z24" s="11"/>
      <c r="AA24" s="11"/>
      <c r="AB24" s="11"/>
      <c r="AC24" s="11"/>
      <c r="AD24" s="11"/>
      <c r="AE24" s="11"/>
      <c r="AF24" s="11"/>
    </row>
    <row r="25" spans="1:32" ht="15.75" x14ac:dyDescent="0.25">
      <c r="A25" s="21" t="s">
        <v>5</v>
      </c>
      <c r="B25" s="6">
        <v>24</v>
      </c>
      <c r="C25" s="6">
        <v>0</v>
      </c>
      <c r="D25" s="6">
        <v>0</v>
      </c>
      <c r="E25" s="6">
        <v>0</v>
      </c>
      <c r="F25" s="6">
        <v>1</v>
      </c>
      <c r="G25" s="3">
        <v>103</v>
      </c>
      <c r="H25" s="7">
        <v>1</v>
      </c>
      <c r="I25" s="7">
        <v>0</v>
      </c>
      <c r="J25" s="9">
        <f t="shared" si="0"/>
        <v>1</v>
      </c>
      <c r="K25" s="9">
        <f t="shared" si="1"/>
        <v>0</v>
      </c>
      <c r="L25" s="9">
        <f t="shared" si="9"/>
        <v>1</v>
      </c>
      <c r="M25" s="9">
        <f t="shared" si="10"/>
        <v>0</v>
      </c>
      <c r="N25" s="9">
        <f t="shared" si="2"/>
        <v>0</v>
      </c>
      <c r="O25" s="9">
        <f t="shared" si="3"/>
        <v>0</v>
      </c>
      <c r="P25" s="9">
        <f t="shared" si="4"/>
        <v>1</v>
      </c>
      <c r="Q25" s="14">
        <f t="shared" si="11"/>
        <v>0</v>
      </c>
      <c r="R25" s="14">
        <f t="shared" si="5"/>
        <v>0</v>
      </c>
      <c r="S25" s="14">
        <f t="shared" si="6"/>
        <v>0</v>
      </c>
      <c r="T25" s="14">
        <f t="shared" si="7"/>
        <v>0</v>
      </c>
      <c r="U25" s="14">
        <f t="shared" si="12"/>
        <v>0</v>
      </c>
      <c r="V25" s="14">
        <f t="shared" si="13"/>
        <v>0</v>
      </c>
      <c r="W25" s="14">
        <f t="shared" si="14"/>
        <v>103</v>
      </c>
      <c r="X25" s="14">
        <f t="shared" si="8"/>
        <v>0</v>
      </c>
      <c r="Y25" s="11"/>
      <c r="Z25" s="11"/>
      <c r="AA25" s="11"/>
      <c r="AB25" s="11"/>
      <c r="AC25" s="11"/>
      <c r="AD25" s="11"/>
      <c r="AE25" s="11"/>
      <c r="AF25" s="11"/>
    </row>
    <row r="26" spans="1:32" ht="15.75" x14ac:dyDescent="0.25">
      <c r="A26" s="21" t="s">
        <v>18</v>
      </c>
      <c r="B26" s="6">
        <v>25</v>
      </c>
      <c r="C26" s="6">
        <v>0</v>
      </c>
      <c r="D26" s="6">
        <v>0</v>
      </c>
      <c r="E26" s="6">
        <v>0</v>
      </c>
      <c r="F26" s="6">
        <v>1</v>
      </c>
      <c r="G26" s="3">
        <v>78</v>
      </c>
      <c r="H26" s="7">
        <v>1</v>
      </c>
      <c r="I26" s="7">
        <v>0</v>
      </c>
      <c r="J26" s="9">
        <f t="shared" si="0"/>
        <v>1</v>
      </c>
      <c r="K26" s="9">
        <f t="shared" si="1"/>
        <v>0</v>
      </c>
      <c r="L26" s="9">
        <f t="shared" si="9"/>
        <v>1</v>
      </c>
      <c r="M26" s="9">
        <f t="shared" si="10"/>
        <v>0</v>
      </c>
      <c r="N26" s="9">
        <f t="shared" si="2"/>
        <v>0</v>
      </c>
      <c r="O26" s="9">
        <f t="shared" si="3"/>
        <v>0</v>
      </c>
      <c r="P26" s="9">
        <f t="shared" si="4"/>
        <v>1</v>
      </c>
      <c r="Q26" s="14">
        <f t="shared" si="11"/>
        <v>0</v>
      </c>
      <c r="R26" s="14">
        <f t="shared" si="5"/>
        <v>0</v>
      </c>
      <c r="S26" s="14">
        <f t="shared" si="6"/>
        <v>0</v>
      </c>
      <c r="T26" s="14">
        <f t="shared" si="7"/>
        <v>0</v>
      </c>
      <c r="U26" s="14">
        <f t="shared" si="12"/>
        <v>0</v>
      </c>
      <c r="V26" s="14">
        <f t="shared" si="13"/>
        <v>0</v>
      </c>
      <c r="W26" s="14">
        <f t="shared" si="14"/>
        <v>78</v>
      </c>
      <c r="X26" s="14">
        <f t="shared" si="8"/>
        <v>0</v>
      </c>
      <c r="Y26" s="11"/>
      <c r="Z26" s="11"/>
      <c r="AA26" s="11"/>
      <c r="AB26" s="11"/>
      <c r="AC26" s="11"/>
      <c r="AD26" s="11"/>
      <c r="AE26" s="11"/>
      <c r="AF26" s="11"/>
    </row>
    <row r="27" spans="1:32" ht="15.75" x14ac:dyDescent="0.25">
      <c r="A27" s="21" t="s">
        <v>20</v>
      </c>
      <c r="B27" s="6">
        <v>26</v>
      </c>
      <c r="C27" s="6">
        <v>0</v>
      </c>
      <c r="D27" s="6">
        <v>0</v>
      </c>
      <c r="E27" s="6">
        <v>0</v>
      </c>
      <c r="F27" s="6">
        <v>1</v>
      </c>
      <c r="G27" s="3">
        <v>77</v>
      </c>
      <c r="H27" s="7">
        <v>0</v>
      </c>
      <c r="I27" s="7">
        <v>0</v>
      </c>
      <c r="J27" s="9">
        <f t="shared" si="0"/>
        <v>0</v>
      </c>
      <c r="K27" s="9">
        <f t="shared" si="1"/>
        <v>0</v>
      </c>
      <c r="L27" s="9">
        <f t="shared" si="9"/>
        <v>0</v>
      </c>
      <c r="M27" s="9">
        <f t="shared" si="10"/>
        <v>0</v>
      </c>
      <c r="N27" s="9">
        <f t="shared" si="2"/>
        <v>0</v>
      </c>
      <c r="O27" s="9">
        <f t="shared" si="3"/>
        <v>0</v>
      </c>
      <c r="P27" s="9">
        <f t="shared" si="4"/>
        <v>0</v>
      </c>
      <c r="Q27" s="14">
        <f t="shared" si="11"/>
        <v>0</v>
      </c>
      <c r="R27" s="14">
        <f t="shared" si="5"/>
        <v>0</v>
      </c>
      <c r="S27" s="14">
        <f t="shared" si="6"/>
        <v>0</v>
      </c>
      <c r="T27" s="14">
        <f t="shared" si="7"/>
        <v>0</v>
      </c>
      <c r="U27" s="14">
        <f t="shared" si="12"/>
        <v>0</v>
      </c>
      <c r="V27" s="14">
        <f t="shared" si="13"/>
        <v>0</v>
      </c>
      <c r="W27" s="14">
        <f t="shared" si="14"/>
        <v>0</v>
      </c>
      <c r="X27" s="14">
        <f t="shared" si="8"/>
        <v>0</v>
      </c>
      <c r="Y27" s="11"/>
      <c r="Z27" s="11"/>
      <c r="AA27" s="11"/>
      <c r="AB27" s="11"/>
      <c r="AC27" s="11"/>
      <c r="AD27" s="11"/>
      <c r="AE27" s="11"/>
      <c r="AF27" s="11"/>
    </row>
    <row r="28" spans="1:32" ht="15.75" x14ac:dyDescent="0.25">
      <c r="A28" s="21" t="s">
        <v>23</v>
      </c>
      <c r="B28" s="6">
        <v>27</v>
      </c>
      <c r="C28" s="6">
        <v>0</v>
      </c>
      <c r="D28" s="6">
        <v>0</v>
      </c>
      <c r="E28" s="6">
        <v>0</v>
      </c>
      <c r="F28" s="6">
        <v>1</v>
      </c>
      <c r="G28" s="3">
        <v>70</v>
      </c>
      <c r="H28" s="7">
        <v>0</v>
      </c>
      <c r="I28" s="7">
        <v>0</v>
      </c>
      <c r="J28" s="9">
        <f t="shared" si="0"/>
        <v>0</v>
      </c>
      <c r="K28" s="9">
        <f t="shared" si="1"/>
        <v>0</v>
      </c>
      <c r="L28" s="9">
        <f t="shared" si="9"/>
        <v>0</v>
      </c>
      <c r="M28" s="9">
        <f t="shared" si="10"/>
        <v>0</v>
      </c>
      <c r="N28" s="9">
        <f t="shared" si="2"/>
        <v>0</v>
      </c>
      <c r="O28" s="9">
        <f t="shared" si="3"/>
        <v>0</v>
      </c>
      <c r="P28" s="9">
        <f t="shared" si="4"/>
        <v>0</v>
      </c>
      <c r="Q28" s="14">
        <f t="shared" si="11"/>
        <v>0</v>
      </c>
      <c r="R28" s="14">
        <f t="shared" si="5"/>
        <v>0</v>
      </c>
      <c r="S28" s="14">
        <f t="shared" si="6"/>
        <v>0</v>
      </c>
      <c r="T28" s="14">
        <f t="shared" si="7"/>
        <v>0</v>
      </c>
      <c r="U28" s="14">
        <f t="shared" si="12"/>
        <v>0</v>
      </c>
      <c r="V28" s="14">
        <f t="shared" si="13"/>
        <v>0</v>
      </c>
      <c r="W28" s="14">
        <f t="shared" si="14"/>
        <v>0</v>
      </c>
      <c r="X28" s="14">
        <f t="shared" si="8"/>
        <v>0</v>
      </c>
      <c r="Y28" s="11"/>
      <c r="Z28" s="11"/>
      <c r="AA28" s="11"/>
      <c r="AB28" s="11"/>
      <c r="AC28" s="11"/>
      <c r="AD28" s="11"/>
      <c r="AE28" s="11"/>
      <c r="AF28" s="11"/>
    </row>
    <row r="29" spans="1:32" ht="15.75" x14ac:dyDescent="0.25">
      <c r="A29" s="21" t="s">
        <v>38</v>
      </c>
      <c r="B29" s="6">
        <v>28</v>
      </c>
      <c r="C29" s="6">
        <v>0</v>
      </c>
      <c r="D29" s="6">
        <v>0</v>
      </c>
      <c r="E29" s="6">
        <v>0</v>
      </c>
      <c r="F29" s="6">
        <v>1</v>
      </c>
      <c r="G29" s="3">
        <v>102</v>
      </c>
      <c r="H29" s="7">
        <v>1</v>
      </c>
      <c r="I29" s="7">
        <v>0</v>
      </c>
      <c r="J29" s="9">
        <f t="shared" si="0"/>
        <v>1</v>
      </c>
      <c r="K29" s="9">
        <f t="shared" si="1"/>
        <v>0</v>
      </c>
      <c r="L29" s="9">
        <f t="shared" si="9"/>
        <v>1</v>
      </c>
      <c r="M29" s="9">
        <f t="shared" si="10"/>
        <v>0</v>
      </c>
      <c r="N29" s="9">
        <f t="shared" si="2"/>
        <v>0</v>
      </c>
      <c r="O29" s="9">
        <f t="shared" si="3"/>
        <v>0</v>
      </c>
      <c r="P29" s="9">
        <f t="shared" si="4"/>
        <v>1</v>
      </c>
      <c r="Q29" s="14">
        <f t="shared" si="11"/>
        <v>0</v>
      </c>
      <c r="R29" s="14">
        <f t="shared" si="5"/>
        <v>0</v>
      </c>
      <c r="S29" s="14">
        <f t="shared" si="6"/>
        <v>0</v>
      </c>
      <c r="T29" s="14">
        <f t="shared" si="7"/>
        <v>0</v>
      </c>
      <c r="U29" s="14">
        <f t="shared" si="12"/>
        <v>0</v>
      </c>
      <c r="V29" s="14">
        <f t="shared" si="13"/>
        <v>0</v>
      </c>
      <c r="W29" s="14">
        <f t="shared" si="14"/>
        <v>102</v>
      </c>
      <c r="X29" s="14">
        <f t="shared" si="8"/>
        <v>0</v>
      </c>
      <c r="Y29" s="11"/>
      <c r="Z29" s="11"/>
      <c r="AA29" s="11"/>
      <c r="AB29" s="11"/>
      <c r="AC29" s="11"/>
      <c r="AD29" s="11"/>
      <c r="AE29" s="11"/>
      <c r="AF29" s="11"/>
    </row>
    <row r="30" spans="1:32" ht="15.75" x14ac:dyDescent="0.25">
      <c r="A30" s="21" t="s">
        <v>6</v>
      </c>
      <c r="B30" s="6">
        <v>29</v>
      </c>
      <c r="C30" s="6">
        <v>0</v>
      </c>
      <c r="D30" s="6">
        <v>0</v>
      </c>
      <c r="E30" s="6">
        <v>0</v>
      </c>
      <c r="F30" s="6">
        <v>1</v>
      </c>
      <c r="G30" s="3">
        <v>98</v>
      </c>
      <c r="H30" s="7">
        <v>1</v>
      </c>
      <c r="I30" s="7">
        <v>0</v>
      </c>
      <c r="J30" s="9">
        <f t="shared" si="0"/>
        <v>1</v>
      </c>
      <c r="K30" s="9">
        <f t="shared" si="1"/>
        <v>0</v>
      </c>
      <c r="L30" s="9">
        <f t="shared" si="9"/>
        <v>1</v>
      </c>
      <c r="M30" s="9">
        <f t="shared" si="10"/>
        <v>0</v>
      </c>
      <c r="N30" s="9">
        <f t="shared" si="2"/>
        <v>0</v>
      </c>
      <c r="O30" s="9">
        <f t="shared" si="3"/>
        <v>0</v>
      </c>
      <c r="P30" s="9">
        <f t="shared" si="4"/>
        <v>1</v>
      </c>
      <c r="Q30" s="14">
        <f t="shared" si="11"/>
        <v>0</v>
      </c>
      <c r="R30" s="14">
        <f t="shared" si="5"/>
        <v>0</v>
      </c>
      <c r="S30" s="14">
        <f t="shared" si="6"/>
        <v>0</v>
      </c>
      <c r="T30" s="14">
        <f t="shared" si="7"/>
        <v>0</v>
      </c>
      <c r="U30" s="14">
        <f t="shared" si="12"/>
        <v>0</v>
      </c>
      <c r="V30" s="14">
        <f t="shared" si="13"/>
        <v>0</v>
      </c>
      <c r="W30" s="14">
        <f t="shared" si="14"/>
        <v>98</v>
      </c>
      <c r="X30" s="14">
        <f t="shared" si="8"/>
        <v>0</v>
      </c>
      <c r="Y30" s="11"/>
      <c r="Z30" s="11"/>
      <c r="AA30" s="11"/>
      <c r="AB30" s="11"/>
      <c r="AC30" s="11"/>
      <c r="AD30" s="11"/>
      <c r="AE30" s="11"/>
      <c r="AF30" s="11"/>
    </row>
    <row r="31" spans="1:32" ht="15.75" x14ac:dyDescent="0.25">
      <c r="A31" s="21" t="s">
        <v>22</v>
      </c>
      <c r="B31" s="6">
        <v>30</v>
      </c>
      <c r="C31" s="6">
        <v>0</v>
      </c>
      <c r="D31" s="6">
        <v>0</v>
      </c>
      <c r="E31" s="6">
        <v>0</v>
      </c>
      <c r="F31" s="6">
        <v>1</v>
      </c>
      <c r="G31" s="3">
        <v>75</v>
      </c>
      <c r="H31" s="7">
        <v>0</v>
      </c>
      <c r="I31" s="7">
        <v>0</v>
      </c>
      <c r="J31" s="9">
        <f t="shared" si="0"/>
        <v>0</v>
      </c>
      <c r="K31" s="9">
        <f t="shared" si="1"/>
        <v>0</v>
      </c>
      <c r="L31" s="9">
        <f t="shared" si="9"/>
        <v>0</v>
      </c>
      <c r="M31" s="9">
        <f t="shared" si="10"/>
        <v>0</v>
      </c>
      <c r="N31" s="9">
        <f t="shared" si="2"/>
        <v>0</v>
      </c>
      <c r="O31" s="9">
        <f t="shared" si="3"/>
        <v>0</v>
      </c>
      <c r="P31" s="9">
        <f t="shared" si="4"/>
        <v>0</v>
      </c>
      <c r="Q31" s="14">
        <f t="shared" si="11"/>
        <v>0</v>
      </c>
      <c r="R31" s="14">
        <f t="shared" si="5"/>
        <v>0</v>
      </c>
      <c r="S31" s="14">
        <f t="shared" si="6"/>
        <v>0</v>
      </c>
      <c r="T31" s="14">
        <f t="shared" si="7"/>
        <v>0</v>
      </c>
      <c r="U31" s="14">
        <f t="shared" si="12"/>
        <v>0</v>
      </c>
      <c r="V31" s="14">
        <f t="shared" si="13"/>
        <v>0</v>
      </c>
      <c r="W31" s="14">
        <f t="shared" si="14"/>
        <v>0</v>
      </c>
      <c r="X31" s="14">
        <f t="shared" si="8"/>
        <v>0</v>
      </c>
      <c r="Y31" s="11"/>
      <c r="Z31" s="11"/>
      <c r="AA31" s="11"/>
      <c r="AB31" s="11"/>
      <c r="AC31" s="11"/>
      <c r="AD31" s="11"/>
      <c r="AE31" s="11"/>
      <c r="AF31" s="11"/>
    </row>
    <row r="32" spans="1:32" ht="15.75" x14ac:dyDescent="0.25">
      <c r="A32" s="2"/>
      <c r="B32" s="2"/>
      <c r="C32" s="2"/>
      <c r="D32" s="2"/>
      <c r="E32" s="2"/>
      <c r="F32" s="1"/>
    </row>
    <row r="33" spans="1:26" ht="15.75" x14ac:dyDescent="0.25">
      <c r="A33" s="2" t="s">
        <v>45</v>
      </c>
      <c r="B33" s="2"/>
      <c r="C33" s="2"/>
      <c r="D33" s="2"/>
      <c r="E33" s="2"/>
      <c r="F33" s="1"/>
      <c r="H33">
        <f>SUM(H2:H31)</f>
        <v>16</v>
      </c>
      <c r="I33">
        <f>SUM(I2:I31)</f>
        <v>0</v>
      </c>
      <c r="K33">
        <f>SUM(K2:K31)</f>
        <v>8</v>
      </c>
      <c r="L33">
        <f>SUM(L2:L31)</f>
        <v>8</v>
      </c>
      <c r="N33" s="6"/>
      <c r="O33" t="s">
        <v>74</v>
      </c>
      <c r="U33" s="17"/>
      <c r="V33" t="s">
        <v>60</v>
      </c>
      <c r="Z33" s="11"/>
    </row>
    <row r="34" spans="1:26" ht="15.75" x14ac:dyDescent="0.25">
      <c r="A34" s="2"/>
      <c r="B34" s="2"/>
      <c r="C34" s="2"/>
      <c r="D34" s="2"/>
      <c r="E34" s="2"/>
      <c r="F34" s="1"/>
      <c r="N34" s="9"/>
      <c r="O34" t="s">
        <v>75</v>
      </c>
      <c r="U34" s="15"/>
      <c r="V34" t="s">
        <v>59</v>
      </c>
      <c r="Z34" s="11"/>
    </row>
    <row r="35" spans="1:26" ht="15.75" x14ac:dyDescent="0.25">
      <c r="A35" s="2" t="s">
        <v>36</v>
      </c>
      <c r="B35" s="2"/>
      <c r="C35" s="2"/>
      <c r="D35" s="2"/>
      <c r="E35" s="2"/>
      <c r="F35" s="1"/>
      <c r="N35" s="7"/>
      <c r="O35" t="s">
        <v>76</v>
      </c>
      <c r="U35" s="12"/>
      <c r="V35" t="s">
        <v>61</v>
      </c>
    </row>
    <row r="36" spans="1:26" ht="15.75" x14ac:dyDescent="0.25">
      <c r="A36" s="1" t="s">
        <v>35</v>
      </c>
      <c r="B36">
        <f>SUMPRODUCT(G2:G31,H2:H31)</f>
        <v>1607</v>
      </c>
      <c r="N36" s="3"/>
      <c r="O36" t="s">
        <v>77</v>
      </c>
      <c r="U36" s="14"/>
      <c r="V36" t="s">
        <v>62</v>
      </c>
    </row>
    <row r="37" spans="1:26" ht="15.75" x14ac:dyDescent="0.25">
      <c r="A37" s="1" t="s">
        <v>34</v>
      </c>
      <c r="B37">
        <f>SUMPRODUCT(G2:G31,I2:I31)</f>
        <v>0</v>
      </c>
    </row>
    <row r="38" spans="1:26" x14ac:dyDescent="0.25">
      <c r="D38" t="s">
        <v>83</v>
      </c>
    </row>
    <row r="39" spans="1:26" ht="15.75" x14ac:dyDescent="0.25">
      <c r="A39" s="1" t="s">
        <v>33</v>
      </c>
      <c r="B39">
        <f>2*B36+B37</f>
        <v>3214</v>
      </c>
      <c r="D39">
        <f>B36+B37</f>
        <v>1607</v>
      </c>
      <c r="H39" t="s">
        <v>82</v>
      </c>
    </row>
    <row r="41" spans="1:26" ht="15.75" x14ac:dyDescent="0.25">
      <c r="A41" s="1" t="s">
        <v>47</v>
      </c>
    </row>
    <row r="42" spans="1:26" x14ac:dyDescent="0.25">
      <c r="B42">
        <f>SUM(H2:H31) +SUM(I2:I31)</f>
        <v>16</v>
      </c>
      <c r="C42" t="s">
        <v>48</v>
      </c>
      <c r="D42">
        <v>16</v>
      </c>
    </row>
    <row r="43" spans="1:26" x14ac:dyDescent="0.25">
      <c r="C43" t="s">
        <v>49</v>
      </c>
      <c r="D43">
        <v>1</v>
      </c>
    </row>
    <row r="44" spans="1:26" x14ac:dyDescent="0.25">
      <c r="B44">
        <f>SUM(K2:K31)</f>
        <v>8</v>
      </c>
      <c r="C44" t="s">
        <v>49</v>
      </c>
      <c r="D44">
        <v>8</v>
      </c>
    </row>
    <row r="45" spans="1:26" x14ac:dyDescent="0.25">
      <c r="B45">
        <f>SUM(L2:L31)</f>
        <v>8</v>
      </c>
      <c r="C45" t="s">
        <v>49</v>
      </c>
      <c r="D45">
        <v>8</v>
      </c>
    </row>
    <row r="47" spans="1:26" x14ac:dyDescent="0.25">
      <c r="A47" t="s">
        <v>54</v>
      </c>
      <c r="B47">
        <f>SUM(M2:M31)</f>
        <v>4</v>
      </c>
      <c r="C47" t="s">
        <v>48</v>
      </c>
      <c r="D47">
        <f>SUM(N2:N31)</f>
        <v>4</v>
      </c>
    </row>
    <row r="48" spans="1:26" x14ac:dyDescent="0.25">
      <c r="A48" t="s">
        <v>55</v>
      </c>
      <c r="B48">
        <f>SUM(O2:O31)</f>
        <v>4</v>
      </c>
      <c r="C48" t="s">
        <v>48</v>
      </c>
      <c r="D48">
        <f>SUM(P2:P31)</f>
        <v>4</v>
      </c>
    </row>
    <row r="50" spans="1:5" x14ac:dyDescent="0.25">
      <c r="A50" t="s">
        <v>57</v>
      </c>
      <c r="B50">
        <f>B47</f>
        <v>4</v>
      </c>
      <c r="C50" t="s">
        <v>56</v>
      </c>
      <c r="D50">
        <f>B48</f>
        <v>4</v>
      </c>
    </row>
    <row r="51" spans="1:5" x14ac:dyDescent="0.25">
      <c r="B51" t="s">
        <v>58</v>
      </c>
    </row>
    <row r="53" spans="1:5" x14ac:dyDescent="0.25">
      <c r="A53" t="s">
        <v>80</v>
      </c>
      <c r="B53">
        <f>SUMPRODUCT($H$2:$H$31,$C$2:$C$31)</f>
        <v>4</v>
      </c>
      <c r="C53" t="s">
        <v>49</v>
      </c>
      <c r="D53">
        <v>4</v>
      </c>
      <c r="E53" t="s">
        <v>81</v>
      </c>
    </row>
    <row r="54" spans="1:5" x14ac:dyDescent="0.25">
      <c r="B54">
        <f>SUMPRODUCT($H$2:$H$31,$D$2:$D$31)</f>
        <v>4</v>
      </c>
      <c r="C54" t="s">
        <v>49</v>
      </c>
      <c r="D54">
        <v>4</v>
      </c>
    </row>
    <row r="55" spans="1:5" x14ac:dyDescent="0.25">
      <c r="B55">
        <f>SUMPRODUCT($H$2:$H$31,$E$2:$E$31)</f>
        <v>4</v>
      </c>
      <c r="C55" t="s">
        <v>49</v>
      </c>
      <c r="D55">
        <v>4</v>
      </c>
    </row>
    <row r="56" spans="1:5" x14ac:dyDescent="0.25">
      <c r="B56">
        <f>SUMPRODUCT($H$2:$H$31,$F$2:$F$31)</f>
        <v>4</v>
      </c>
      <c r="C56" t="s">
        <v>49</v>
      </c>
      <c r="D56">
        <v>4</v>
      </c>
    </row>
  </sheetData>
  <autoFilter ref="A1:X31">
    <sortState ref="A2:X31">
      <sortCondition ref="B1:B31"/>
    </sortState>
  </autoFilter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51"/>
  <sheetViews>
    <sheetView topLeftCell="A26" workbookViewId="0">
      <selection activeCell="E19" sqref="E19"/>
    </sheetView>
  </sheetViews>
  <sheetFormatPr defaultRowHeight="15" x14ac:dyDescent="0.25"/>
  <cols>
    <col min="1" max="1" width="21" bestFit="1" customWidth="1"/>
    <col min="25" max="25" width="7.28515625" customWidth="1"/>
    <col min="26" max="26" width="6.7109375" customWidth="1"/>
    <col min="27" max="27" width="6.5703125" customWidth="1"/>
  </cols>
  <sheetData>
    <row r="1" spans="1:32" ht="47.25" x14ac:dyDescent="0.25">
      <c r="A1" s="4" t="s">
        <v>25</v>
      </c>
      <c r="B1" s="4" t="s">
        <v>37</v>
      </c>
      <c r="C1" s="4" t="s">
        <v>28</v>
      </c>
      <c r="D1" s="4" t="s">
        <v>29</v>
      </c>
      <c r="E1" s="4" t="s">
        <v>30</v>
      </c>
      <c r="F1" s="4" t="s">
        <v>31</v>
      </c>
      <c r="G1" s="5" t="s">
        <v>32</v>
      </c>
      <c r="H1" s="5" t="s">
        <v>26</v>
      </c>
      <c r="I1" s="5" t="s">
        <v>27</v>
      </c>
      <c r="J1" s="13" t="s">
        <v>46</v>
      </c>
      <c r="K1" s="13" t="s">
        <v>43</v>
      </c>
      <c r="L1" s="13" t="s">
        <v>44</v>
      </c>
      <c r="M1" s="8" t="s">
        <v>51</v>
      </c>
      <c r="N1" s="8" t="s">
        <v>50</v>
      </c>
      <c r="O1" s="8" t="s">
        <v>52</v>
      </c>
      <c r="P1" s="8" t="s">
        <v>53</v>
      </c>
      <c r="Q1" s="8" t="s">
        <v>66</v>
      </c>
      <c r="R1" s="8" t="s">
        <v>67</v>
      </c>
      <c r="S1" s="8" t="s">
        <v>68</v>
      </c>
      <c r="T1" s="8" t="s">
        <v>69</v>
      </c>
      <c r="U1" s="8" t="s">
        <v>70</v>
      </c>
      <c r="V1" s="8" t="s">
        <v>71</v>
      </c>
      <c r="W1" s="8" t="s">
        <v>72</v>
      </c>
      <c r="X1" s="8" t="s">
        <v>73</v>
      </c>
      <c r="Y1" s="8"/>
      <c r="Z1" s="8"/>
      <c r="AA1" s="8"/>
      <c r="AB1" s="8"/>
    </row>
    <row r="2" spans="1:32" ht="15.75" x14ac:dyDescent="0.25">
      <c r="A2" s="18" t="s">
        <v>16</v>
      </c>
      <c r="B2" s="6">
        <v>1</v>
      </c>
      <c r="C2" s="6">
        <v>1</v>
      </c>
      <c r="D2" s="6">
        <v>0</v>
      </c>
      <c r="E2" s="6">
        <v>0</v>
      </c>
      <c r="F2" s="6">
        <v>0</v>
      </c>
      <c r="G2" s="3">
        <v>88</v>
      </c>
      <c r="H2" s="7">
        <v>0</v>
      </c>
      <c r="I2" s="7">
        <v>0</v>
      </c>
      <c r="J2" s="9">
        <f t="shared" ref="J2:J31" si="0">H2+I2</f>
        <v>0</v>
      </c>
      <c r="K2" s="9">
        <f t="shared" ref="K2:K31" si="1">(C2+D2)*(H2+I2)</f>
        <v>0</v>
      </c>
      <c r="L2" s="9">
        <f t="shared" ref="L2:L31" si="2">(E2+F2)*(H2+I2)</f>
        <v>0</v>
      </c>
      <c r="M2" s="9">
        <f t="shared" ref="M2:M31" si="3">C2*H2</f>
        <v>0</v>
      </c>
      <c r="N2" s="9">
        <f t="shared" ref="N2:N31" si="4">D2*H2</f>
        <v>0</v>
      </c>
      <c r="O2" s="9">
        <f t="shared" ref="O2:O31" si="5">E2*H2</f>
        <v>0</v>
      </c>
      <c r="P2" s="9">
        <f t="shared" ref="P2:P31" si="6">F2*H2</f>
        <v>0</v>
      </c>
      <c r="Q2" s="17">
        <f t="shared" ref="Q2:Q31" si="7">H2*G2*C2</f>
        <v>0</v>
      </c>
      <c r="R2" s="17">
        <f t="shared" ref="R2:R31" si="8">I2*G2*C2</f>
        <v>0</v>
      </c>
      <c r="S2" s="17">
        <f t="shared" ref="S2:S31" si="9">H2*G2*D2</f>
        <v>0</v>
      </c>
      <c r="T2" s="17">
        <f t="shared" ref="T2:T31" si="10">I2*G2*D2</f>
        <v>0</v>
      </c>
      <c r="U2" s="17">
        <f t="shared" ref="U2:U31" si="11">H2*G2*E2</f>
        <v>0</v>
      </c>
      <c r="V2" s="17">
        <f t="shared" ref="V2:V31" si="12">I2*G2*E2</f>
        <v>0</v>
      </c>
      <c r="W2" s="17">
        <f t="shared" ref="W2:W31" si="13">H2*G2*F2</f>
        <v>0</v>
      </c>
      <c r="X2" s="17">
        <f t="shared" ref="X2:X31" si="14">I2*G2*F2</f>
        <v>0</v>
      </c>
      <c r="Y2" s="11"/>
      <c r="Z2" s="11"/>
      <c r="AA2" s="11"/>
      <c r="AB2" s="11"/>
      <c r="AC2" s="11"/>
      <c r="AD2" s="11"/>
      <c r="AE2" s="11"/>
      <c r="AF2" s="11"/>
    </row>
    <row r="3" spans="1:32" ht="14.25" customHeight="1" x14ac:dyDescent="0.25">
      <c r="A3" s="18" t="s">
        <v>21</v>
      </c>
      <c r="B3" s="6">
        <v>2</v>
      </c>
      <c r="C3" s="6">
        <v>1</v>
      </c>
      <c r="D3" s="6">
        <v>0</v>
      </c>
      <c r="E3" s="6">
        <v>0</v>
      </c>
      <c r="F3" s="6">
        <v>0</v>
      </c>
      <c r="G3" s="3">
        <v>73</v>
      </c>
      <c r="H3" s="7">
        <v>0</v>
      </c>
      <c r="I3" s="7">
        <v>0</v>
      </c>
      <c r="J3" s="9">
        <f t="shared" si="0"/>
        <v>0</v>
      </c>
      <c r="K3" s="9">
        <f t="shared" si="1"/>
        <v>0</v>
      </c>
      <c r="L3" s="9">
        <f t="shared" si="2"/>
        <v>0</v>
      </c>
      <c r="M3" s="9">
        <f t="shared" si="3"/>
        <v>0</v>
      </c>
      <c r="N3" s="9">
        <f t="shared" si="4"/>
        <v>0</v>
      </c>
      <c r="O3" s="9">
        <f t="shared" si="5"/>
        <v>0</v>
      </c>
      <c r="P3" s="9">
        <f t="shared" si="6"/>
        <v>0</v>
      </c>
      <c r="Q3" s="17">
        <f t="shared" si="7"/>
        <v>0</v>
      </c>
      <c r="R3" s="17">
        <f t="shared" si="8"/>
        <v>0</v>
      </c>
      <c r="S3" s="17">
        <f t="shared" si="9"/>
        <v>0</v>
      </c>
      <c r="T3" s="17">
        <f t="shared" si="10"/>
        <v>0</v>
      </c>
      <c r="U3" s="17">
        <f t="shared" si="11"/>
        <v>0</v>
      </c>
      <c r="V3" s="17">
        <f t="shared" si="12"/>
        <v>0</v>
      </c>
      <c r="W3" s="17">
        <f t="shared" si="13"/>
        <v>0</v>
      </c>
      <c r="X3" s="17">
        <f t="shared" si="14"/>
        <v>0</v>
      </c>
      <c r="Y3" s="11"/>
      <c r="Z3" s="11"/>
      <c r="AA3" s="11"/>
      <c r="AB3" s="11"/>
      <c r="AC3" s="11"/>
      <c r="AD3" s="11"/>
      <c r="AE3" s="11"/>
      <c r="AF3" s="11"/>
    </row>
    <row r="4" spans="1:32" ht="15.75" x14ac:dyDescent="0.25">
      <c r="A4" s="18" t="s">
        <v>39</v>
      </c>
      <c r="B4" s="6">
        <v>3</v>
      </c>
      <c r="C4" s="6">
        <v>1</v>
      </c>
      <c r="D4" s="6">
        <v>0</v>
      </c>
      <c r="E4" s="6">
        <v>0</v>
      </c>
      <c r="F4" s="6">
        <v>0</v>
      </c>
      <c r="G4" s="3">
        <v>107</v>
      </c>
      <c r="H4" s="7">
        <v>1</v>
      </c>
      <c r="I4" s="7">
        <v>0</v>
      </c>
      <c r="J4" s="9">
        <f t="shared" si="0"/>
        <v>1</v>
      </c>
      <c r="K4" s="9">
        <f t="shared" si="1"/>
        <v>1</v>
      </c>
      <c r="L4" s="9">
        <f t="shared" si="2"/>
        <v>0</v>
      </c>
      <c r="M4" s="9">
        <f t="shared" si="3"/>
        <v>1</v>
      </c>
      <c r="N4" s="9">
        <f t="shared" si="4"/>
        <v>0</v>
      </c>
      <c r="O4" s="9">
        <f t="shared" si="5"/>
        <v>0</v>
      </c>
      <c r="P4" s="9">
        <f t="shared" si="6"/>
        <v>0</v>
      </c>
      <c r="Q4" s="17">
        <f t="shared" si="7"/>
        <v>107</v>
      </c>
      <c r="R4" s="17">
        <f t="shared" si="8"/>
        <v>0</v>
      </c>
      <c r="S4" s="17">
        <f t="shared" si="9"/>
        <v>0</v>
      </c>
      <c r="T4" s="17">
        <f t="shared" si="10"/>
        <v>0</v>
      </c>
      <c r="U4" s="17">
        <f t="shared" si="11"/>
        <v>0</v>
      </c>
      <c r="V4" s="17">
        <f t="shared" si="12"/>
        <v>0</v>
      </c>
      <c r="W4" s="17">
        <f t="shared" si="13"/>
        <v>0</v>
      </c>
      <c r="X4" s="17">
        <f t="shared" si="14"/>
        <v>0</v>
      </c>
      <c r="Y4" s="11"/>
      <c r="Z4" s="11"/>
      <c r="AA4" s="11"/>
      <c r="AB4" s="11"/>
      <c r="AC4" s="11"/>
      <c r="AD4" s="11"/>
      <c r="AE4" s="11"/>
      <c r="AF4" s="11"/>
    </row>
    <row r="5" spans="1:32" ht="15.75" x14ac:dyDescent="0.25">
      <c r="A5" s="18" t="s">
        <v>40</v>
      </c>
      <c r="B5" s="6">
        <v>4</v>
      </c>
      <c r="C5" s="6">
        <v>1</v>
      </c>
      <c r="D5" s="6">
        <v>0</v>
      </c>
      <c r="E5" s="6">
        <v>0</v>
      </c>
      <c r="F5" s="6">
        <v>0</v>
      </c>
      <c r="G5" s="3">
        <v>92</v>
      </c>
      <c r="H5" s="7">
        <v>1</v>
      </c>
      <c r="I5" s="7">
        <v>0</v>
      </c>
      <c r="J5" s="9">
        <f t="shared" si="0"/>
        <v>1</v>
      </c>
      <c r="K5" s="9">
        <f t="shared" si="1"/>
        <v>1</v>
      </c>
      <c r="L5" s="9">
        <f t="shared" si="2"/>
        <v>0</v>
      </c>
      <c r="M5" s="9">
        <f t="shared" si="3"/>
        <v>1</v>
      </c>
      <c r="N5" s="9">
        <f t="shared" si="4"/>
        <v>0</v>
      </c>
      <c r="O5" s="9">
        <f t="shared" si="5"/>
        <v>0</v>
      </c>
      <c r="P5" s="9">
        <f t="shared" si="6"/>
        <v>0</v>
      </c>
      <c r="Q5" s="17">
        <f t="shared" si="7"/>
        <v>92</v>
      </c>
      <c r="R5" s="17">
        <f t="shared" si="8"/>
        <v>0</v>
      </c>
      <c r="S5" s="17">
        <f t="shared" si="9"/>
        <v>0</v>
      </c>
      <c r="T5" s="17">
        <f t="shared" si="10"/>
        <v>0</v>
      </c>
      <c r="U5" s="17">
        <f t="shared" si="11"/>
        <v>0</v>
      </c>
      <c r="V5" s="17">
        <f t="shared" si="12"/>
        <v>0</v>
      </c>
      <c r="W5" s="17">
        <f t="shared" si="13"/>
        <v>0</v>
      </c>
      <c r="X5" s="17">
        <f t="shared" si="14"/>
        <v>0</v>
      </c>
      <c r="Y5" s="11"/>
      <c r="Z5" s="11"/>
      <c r="AA5" s="11"/>
      <c r="AB5" s="11"/>
      <c r="AC5" s="11"/>
      <c r="AD5" s="11"/>
      <c r="AE5" s="11"/>
      <c r="AF5" s="11"/>
    </row>
    <row r="6" spans="1:32" ht="15.75" x14ac:dyDescent="0.25">
      <c r="A6" s="18" t="s">
        <v>41</v>
      </c>
      <c r="B6" s="6">
        <v>5</v>
      </c>
      <c r="C6" s="6">
        <v>1</v>
      </c>
      <c r="D6" s="6">
        <v>0</v>
      </c>
      <c r="E6" s="6">
        <v>0</v>
      </c>
      <c r="F6" s="6">
        <v>0</v>
      </c>
      <c r="G6" s="3">
        <v>94</v>
      </c>
      <c r="H6" s="7">
        <v>1</v>
      </c>
      <c r="I6" s="7">
        <v>0</v>
      </c>
      <c r="J6" s="9">
        <f t="shared" si="0"/>
        <v>1</v>
      </c>
      <c r="K6" s="9">
        <f t="shared" si="1"/>
        <v>1</v>
      </c>
      <c r="L6" s="9">
        <f t="shared" si="2"/>
        <v>0</v>
      </c>
      <c r="M6" s="9">
        <f t="shared" si="3"/>
        <v>1</v>
      </c>
      <c r="N6" s="9">
        <f t="shared" si="4"/>
        <v>0</v>
      </c>
      <c r="O6" s="9">
        <f t="shared" si="5"/>
        <v>0</v>
      </c>
      <c r="P6" s="9">
        <f t="shared" si="6"/>
        <v>0</v>
      </c>
      <c r="Q6" s="17">
        <f t="shared" si="7"/>
        <v>94</v>
      </c>
      <c r="R6" s="17">
        <f t="shared" si="8"/>
        <v>0</v>
      </c>
      <c r="S6" s="17">
        <f t="shared" si="9"/>
        <v>0</v>
      </c>
      <c r="T6" s="17">
        <f t="shared" si="10"/>
        <v>0</v>
      </c>
      <c r="U6" s="17">
        <f t="shared" si="11"/>
        <v>0</v>
      </c>
      <c r="V6" s="17">
        <f t="shared" si="12"/>
        <v>0</v>
      </c>
      <c r="W6" s="17">
        <f t="shared" si="13"/>
        <v>0</v>
      </c>
      <c r="X6" s="17">
        <f t="shared" si="14"/>
        <v>0</v>
      </c>
      <c r="Y6" s="11"/>
      <c r="Z6" s="11"/>
      <c r="AA6" s="11"/>
      <c r="AB6" s="11"/>
      <c r="AC6" s="11"/>
      <c r="AD6" s="11"/>
      <c r="AE6" s="11"/>
      <c r="AF6" s="11"/>
    </row>
    <row r="7" spans="1:32" ht="15.75" x14ac:dyDescent="0.25">
      <c r="A7" s="18" t="s">
        <v>9</v>
      </c>
      <c r="B7" s="6">
        <v>6</v>
      </c>
      <c r="C7" s="6">
        <v>1</v>
      </c>
      <c r="D7" s="6">
        <v>0</v>
      </c>
      <c r="E7" s="6">
        <v>0</v>
      </c>
      <c r="F7" s="6">
        <v>0</v>
      </c>
      <c r="G7" s="3">
        <v>56</v>
      </c>
      <c r="H7" s="7">
        <v>0</v>
      </c>
      <c r="I7" s="7">
        <v>0</v>
      </c>
      <c r="J7" s="9">
        <f t="shared" si="0"/>
        <v>0</v>
      </c>
      <c r="K7" s="9">
        <f t="shared" si="1"/>
        <v>0</v>
      </c>
      <c r="L7" s="9">
        <f t="shared" si="2"/>
        <v>0</v>
      </c>
      <c r="M7" s="9">
        <f t="shared" si="3"/>
        <v>0</v>
      </c>
      <c r="N7" s="9">
        <f t="shared" si="4"/>
        <v>0</v>
      </c>
      <c r="O7" s="9">
        <f t="shared" si="5"/>
        <v>0</v>
      </c>
      <c r="P7" s="9">
        <f t="shared" si="6"/>
        <v>0</v>
      </c>
      <c r="Q7" s="17">
        <f t="shared" si="7"/>
        <v>0</v>
      </c>
      <c r="R7" s="17">
        <f t="shared" si="8"/>
        <v>0</v>
      </c>
      <c r="S7" s="17">
        <f t="shared" si="9"/>
        <v>0</v>
      </c>
      <c r="T7" s="17">
        <f t="shared" si="10"/>
        <v>0</v>
      </c>
      <c r="U7" s="17">
        <f t="shared" si="11"/>
        <v>0</v>
      </c>
      <c r="V7" s="17">
        <f t="shared" si="12"/>
        <v>0</v>
      </c>
      <c r="W7" s="17">
        <f t="shared" si="13"/>
        <v>0</v>
      </c>
      <c r="X7" s="17">
        <f t="shared" si="14"/>
        <v>0</v>
      </c>
      <c r="Y7" s="11"/>
      <c r="Z7" s="11"/>
      <c r="AA7" s="11"/>
      <c r="AB7" s="11"/>
      <c r="AC7" s="11"/>
      <c r="AD7" s="11"/>
      <c r="AE7" s="11"/>
      <c r="AF7" s="11"/>
    </row>
    <row r="8" spans="1:32" ht="15.75" x14ac:dyDescent="0.25">
      <c r="A8" s="18" t="s">
        <v>42</v>
      </c>
      <c r="B8" s="6">
        <v>7</v>
      </c>
      <c r="C8" s="6">
        <v>1</v>
      </c>
      <c r="D8" s="6">
        <v>0</v>
      </c>
      <c r="E8" s="6">
        <v>0</v>
      </c>
      <c r="F8" s="6">
        <v>0</v>
      </c>
      <c r="G8" s="3">
        <v>105</v>
      </c>
      <c r="H8" s="7">
        <v>1</v>
      </c>
      <c r="I8" s="7">
        <v>0</v>
      </c>
      <c r="J8" s="9">
        <f t="shared" si="0"/>
        <v>1</v>
      </c>
      <c r="K8" s="9">
        <f t="shared" si="1"/>
        <v>1</v>
      </c>
      <c r="L8" s="9">
        <f t="shared" si="2"/>
        <v>0</v>
      </c>
      <c r="M8" s="9">
        <f t="shared" si="3"/>
        <v>1</v>
      </c>
      <c r="N8" s="9">
        <f t="shared" si="4"/>
        <v>0</v>
      </c>
      <c r="O8" s="9">
        <f t="shared" si="5"/>
        <v>0</v>
      </c>
      <c r="P8" s="9">
        <f t="shared" si="6"/>
        <v>0</v>
      </c>
      <c r="Q8" s="17">
        <f t="shared" si="7"/>
        <v>105</v>
      </c>
      <c r="R8" s="17">
        <f t="shared" si="8"/>
        <v>0</v>
      </c>
      <c r="S8" s="17">
        <f t="shared" si="9"/>
        <v>0</v>
      </c>
      <c r="T8" s="17">
        <f t="shared" si="10"/>
        <v>0</v>
      </c>
      <c r="U8" s="17">
        <f t="shared" si="11"/>
        <v>0</v>
      </c>
      <c r="V8" s="17">
        <f t="shared" si="12"/>
        <v>0</v>
      </c>
      <c r="W8" s="17">
        <f t="shared" si="13"/>
        <v>0</v>
      </c>
      <c r="X8" s="17">
        <f t="shared" si="14"/>
        <v>0</v>
      </c>
      <c r="Y8" s="11"/>
      <c r="Z8" s="11"/>
      <c r="AA8" s="11"/>
      <c r="AB8" s="11"/>
      <c r="AC8" s="11"/>
      <c r="AD8" s="11"/>
      <c r="AE8" s="11"/>
      <c r="AF8" s="11"/>
    </row>
    <row r="9" spans="1:32" ht="15.75" x14ac:dyDescent="0.25">
      <c r="A9" s="18" t="s">
        <v>0</v>
      </c>
      <c r="B9" s="6">
        <v>8</v>
      </c>
      <c r="C9" s="6">
        <v>1</v>
      </c>
      <c r="D9" s="6">
        <v>0</v>
      </c>
      <c r="E9" s="6">
        <v>0</v>
      </c>
      <c r="F9" s="6">
        <v>0</v>
      </c>
      <c r="G9" s="3">
        <v>70</v>
      </c>
      <c r="H9" s="7">
        <v>0</v>
      </c>
      <c r="I9" s="7">
        <v>0</v>
      </c>
      <c r="J9" s="9">
        <f t="shared" si="0"/>
        <v>0</v>
      </c>
      <c r="K9" s="9">
        <f t="shared" si="1"/>
        <v>0</v>
      </c>
      <c r="L9" s="9">
        <f t="shared" si="2"/>
        <v>0</v>
      </c>
      <c r="M9" s="9">
        <f t="shared" si="3"/>
        <v>0</v>
      </c>
      <c r="N9" s="9">
        <f t="shared" si="4"/>
        <v>0</v>
      </c>
      <c r="O9" s="9">
        <f t="shared" si="5"/>
        <v>0</v>
      </c>
      <c r="P9" s="9">
        <f t="shared" si="6"/>
        <v>0</v>
      </c>
      <c r="Q9" s="17">
        <f t="shared" si="7"/>
        <v>0</v>
      </c>
      <c r="R9" s="17">
        <f t="shared" si="8"/>
        <v>0</v>
      </c>
      <c r="S9" s="17">
        <f t="shared" si="9"/>
        <v>0</v>
      </c>
      <c r="T9" s="17">
        <f t="shared" si="10"/>
        <v>0</v>
      </c>
      <c r="U9" s="17">
        <f t="shared" si="11"/>
        <v>0</v>
      </c>
      <c r="V9" s="17">
        <f t="shared" si="12"/>
        <v>0</v>
      </c>
      <c r="W9" s="17">
        <f t="shared" si="13"/>
        <v>0</v>
      </c>
      <c r="X9" s="17">
        <f t="shared" si="14"/>
        <v>0</v>
      </c>
      <c r="Y9" s="11"/>
      <c r="Z9" s="11"/>
      <c r="AA9" s="11"/>
      <c r="AB9" s="11"/>
      <c r="AC9" s="11"/>
      <c r="AD9" s="11"/>
      <c r="AE9" s="11"/>
      <c r="AF9" s="11"/>
    </row>
    <row r="10" spans="1:32" ht="15" customHeight="1" x14ac:dyDescent="0.25">
      <c r="A10" s="19" t="s">
        <v>8</v>
      </c>
      <c r="B10" s="6">
        <v>9</v>
      </c>
      <c r="C10" s="6">
        <v>0</v>
      </c>
      <c r="D10" s="6">
        <v>1</v>
      </c>
      <c r="E10" s="6">
        <v>0</v>
      </c>
      <c r="F10" s="6">
        <v>0</v>
      </c>
      <c r="G10" s="3">
        <v>76</v>
      </c>
      <c r="H10" s="7">
        <v>0</v>
      </c>
      <c r="I10" s="7">
        <v>0</v>
      </c>
      <c r="J10" s="9">
        <f t="shared" si="0"/>
        <v>0</v>
      </c>
      <c r="K10" s="9">
        <f t="shared" si="1"/>
        <v>0</v>
      </c>
      <c r="L10" s="9">
        <f t="shared" si="2"/>
        <v>0</v>
      </c>
      <c r="M10" s="9">
        <f t="shared" si="3"/>
        <v>0</v>
      </c>
      <c r="N10" s="9">
        <f t="shared" si="4"/>
        <v>0</v>
      </c>
      <c r="O10" s="9">
        <f t="shared" si="5"/>
        <v>0</v>
      </c>
      <c r="P10" s="9">
        <f t="shared" si="6"/>
        <v>0</v>
      </c>
      <c r="Q10" s="15">
        <f t="shared" si="7"/>
        <v>0</v>
      </c>
      <c r="R10" s="15">
        <f t="shared" si="8"/>
        <v>0</v>
      </c>
      <c r="S10" s="15">
        <f t="shared" si="9"/>
        <v>0</v>
      </c>
      <c r="T10" s="15">
        <f t="shared" si="10"/>
        <v>0</v>
      </c>
      <c r="U10" s="15">
        <f t="shared" si="11"/>
        <v>0</v>
      </c>
      <c r="V10" s="15">
        <f t="shared" si="12"/>
        <v>0</v>
      </c>
      <c r="W10" s="15">
        <f t="shared" si="13"/>
        <v>0</v>
      </c>
      <c r="X10" s="15">
        <f t="shared" si="14"/>
        <v>0</v>
      </c>
      <c r="Y10" s="11"/>
      <c r="Z10" s="11"/>
      <c r="AA10" s="11"/>
      <c r="AB10" s="11"/>
      <c r="AC10" s="11"/>
      <c r="AD10" s="11"/>
      <c r="AE10" s="11"/>
      <c r="AF10" s="11"/>
    </row>
    <row r="11" spans="1:32" ht="15.75" x14ac:dyDescent="0.25">
      <c r="A11" s="19" t="s">
        <v>17</v>
      </c>
      <c r="B11" s="6">
        <v>10</v>
      </c>
      <c r="C11" s="6">
        <v>0</v>
      </c>
      <c r="D11" s="6">
        <v>1</v>
      </c>
      <c r="E11" s="6">
        <v>0</v>
      </c>
      <c r="F11" s="6">
        <v>0</v>
      </c>
      <c r="G11" s="3">
        <v>113</v>
      </c>
      <c r="H11" s="7">
        <v>1</v>
      </c>
      <c r="I11" s="7">
        <v>0</v>
      </c>
      <c r="J11" s="9">
        <f t="shared" si="0"/>
        <v>1</v>
      </c>
      <c r="K11" s="9">
        <f t="shared" si="1"/>
        <v>1</v>
      </c>
      <c r="L11" s="9">
        <f t="shared" si="2"/>
        <v>0</v>
      </c>
      <c r="M11" s="9">
        <f t="shared" si="3"/>
        <v>0</v>
      </c>
      <c r="N11" s="9">
        <f t="shared" si="4"/>
        <v>1</v>
      </c>
      <c r="O11" s="9">
        <f t="shared" si="5"/>
        <v>0</v>
      </c>
      <c r="P11" s="9">
        <f t="shared" si="6"/>
        <v>0</v>
      </c>
      <c r="Q11" s="15">
        <f t="shared" si="7"/>
        <v>0</v>
      </c>
      <c r="R11" s="15">
        <f t="shared" si="8"/>
        <v>0</v>
      </c>
      <c r="S11" s="15">
        <f t="shared" si="9"/>
        <v>113</v>
      </c>
      <c r="T11" s="15">
        <f t="shared" si="10"/>
        <v>0</v>
      </c>
      <c r="U11" s="15">
        <f t="shared" si="11"/>
        <v>0</v>
      </c>
      <c r="V11" s="15">
        <f t="shared" si="12"/>
        <v>0</v>
      </c>
      <c r="W11" s="15">
        <f t="shared" si="13"/>
        <v>0</v>
      </c>
      <c r="X11" s="15">
        <f t="shared" si="14"/>
        <v>0</v>
      </c>
      <c r="Y11" s="11"/>
      <c r="Z11" s="11"/>
      <c r="AA11" s="11"/>
      <c r="AB11" s="11"/>
      <c r="AC11" s="11"/>
      <c r="AD11" s="11"/>
      <c r="AE11" s="11"/>
      <c r="AF11" s="11"/>
    </row>
    <row r="12" spans="1:32" ht="15.75" x14ac:dyDescent="0.25">
      <c r="A12" s="19" t="s">
        <v>11</v>
      </c>
      <c r="B12" s="6">
        <v>11</v>
      </c>
      <c r="C12" s="6">
        <v>0</v>
      </c>
      <c r="D12" s="6">
        <v>1</v>
      </c>
      <c r="E12" s="6">
        <v>0</v>
      </c>
      <c r="F12" s="6">
        <v>0</v>
      </c>
      <c r="G12" s="3">
        <v>113</v>
      </c>
      <c r="H12" s="7">
        <v>1</v>
      </c>
      <c r="I12" s="7">
        <v>0</v>
      </c>
      <c r="J12" s="9">
        <f t="shared" si="0"/>
        <v>1</v>
      </c>
      <c r="K12" s="9">
        <f t="shared" si="1"/>
        <v>1</v>
      </c>
      <c r="L12" s="9">
        <f t="shared" si="2"/>
        <v>0</v>
      </c>
      <c r="M12" s="9">
        <f t="shared" si="3"/>
        <v>0</v>
      </c>
      <c r="N12" s="9">
        <f t="shared" si="4"/>
        <v>1</v>
      </c>
      <c r="O12" s="9">
        <f t="shared" si="5"/>
        <v>0</v>
      </c>
      <c r="P12" s="9">
        <f t="shared" si="6"/>
        <v>0</v>
      </c>
      <c r="Q12" s="15">
        <f t="shared" si="7"/>
        <v>0</v>
      </c>
      <c r="R12" s="15">
        <f t="shared" si="8"/>
        <v>0</v>
      </c>
      <c r="S12" s="15">
        <f t="shared" si="9"/>
        <v>113</v>
      </c>
      <c r="T12" s="15">
        <f t="shared" si="10"/>
        <v>0</v>
      </c>
      <c r="U12" s="15">
        <f t="shared" si="11"/>
        <v>0</v>
      </c>
      <c r="V12" s="15">
        <f t="shared" si="12"/>
        <v>0</v>
      </c>
      <c r="W12" s="15">
        <f t="shared" si="13"/>
        <v>0</v>
      </c>
      <c r="X12" s="15">
        <f t="shared" si="14"/>
        <v>0</v>
      </c>
      <c r="Y12" s="11"/>
      <c r="Z12" s="11"/>
      <c r="AA12" s="11"/>
      <c r="AB12" s="11"/>
      <c r="AC12" s="11"/>
      <c r="AD12" s="11"/>
      <c r="AE12" s="11"/>
      <c r="AF12" s="11"/>
    </row>
    <row r="13" spans="1:32" ht="15.75" x14ac:dyDescent="0.25">
      <c r="A13" s="19" t="s">
        <v>3</v>
      </c>
      <c r="B13" s="6">
        <v>12</v>
      </c>
      <c r="C13" s="6">
        <v>0</v>
      </c>
      <c r="D13" s="6">
        <v>1</v>
      </c>
      <c r="E13" s="6">
        <v>0</v>
      </c>
      <c r="F13" s="6">
        <v>0</v>
      </c>
      <c r="G13" s="3">
        <v>86</v>
      </c>
      <c r="H13" s="7">
        <v>0</v>
      </c>
      <c r="I13" s="7">
        <v>0</v>
      </c>
      <c r="J13" s="9">
        <f t="shared" si="0"/>
        <v>0</v>
      </c>
      <c r="K13" s="9">
        <f t="shared" si="1"/>
        <v>0</v>
      </c>
      <c r="L13" s="9">
        <f t="shared" si="2"/>
        <v>0</v>
      </c>
      <c r="M13" s="9">
        <f t="shared" si="3"/>
        <v>0</v>
      </c>
      <c r="N13" s="9">
        <f t="shared" si="4"/>
        <v>0</v>
      </c>
      <c r="O13" s="9">
        <f t="shared" si="5"/>
        <v>0</v>
      </c>
      <c r="P13" s="9">
        <f t="shared" si="6"/>
        <v>0</v>
      </c>
      <c r="Q13" s="15">
        <f t="shared" si="7"/>
        <v>0</v>
      </c>
      <c r="R13" s="15">
        <f t="shared" si="8"/>
        <v>0</v>
      </c>
      <c r="S13" s="15">
        <f t="shared" si="9"/>
        <v>0</v>
      </c>
      <c r="T13" s="15">
        <f t="shared" si="10"/>
        <v>0</v>
      </c>
      <c r="U13" s="15">
        <f t="shared" si="11"/>
        <v>0</v>
      </c>
      <c r="V13" s="15">
        <f t="shared" si="12"/>
        <v>0</v>
      </c>
      <c r="W13" s="15">
        <f t="shared" si="13"/>
        <v>0</v>
      </c>
      <c r="X13" s="15">
        <f t="shared" si="14"/>
        <v>0</v>
      </c>
      <c r="Y13" s="11"/>
      <c r="Z13" s="11"/>
      <c r="AA13" s="11"/>
      <c r="AB13" s="11"/>
      <c r="AC13" s="11"/>
      <c r="AD13" s="11"/>
      <c r="AE13" s="11"/>
      <c r="AF13" s="11"/>
    </row>
    <row r="14" spans="1:32" ht="15.75" x14ac:dyDescent="0.25">
      <c r="A14" s="19" t="s">
        <v>15</v>
      </c>
      <c r="B14" s="6">
        <v>13</v>
      </c>
      <c r="C14" s="6">
        <v>0</v>
      </c>
      <c r="D14" s="6">
        <v>1</v>
      </c>
      <c r="E14" s="6">
        <v>0</v>
      </c>
      <c r="F14" s="6">
        <v>0</v>
      </c>
      <c r="G14" s="3">
        <v>90</v>
      </c>
      <c r="H14" s="7">
        <v>0</v>
      </c>
      <c r="I14" s="7">
        <v>0</v>
      </c>
      <c r="J14" s="9">
        <f t="shared" si="0"/>
        <v>0</v>
      </c>
      <c r="K14" s="9">
        <f t="shared" si="1"/>
        <v>0</v>
      </c>
      <c r="L14" s="9">
        <f t="shared" si="2"/>
        <v>0</v>
      </c>
      <c r="M14" s="9">
        <f t="shared" si="3"/>
        <v>0</v>
      </c>
      <c r="N14" s="9">
        <f t="shared" si="4"/>
        <v>0</v>
      </c>
      <c r="O14" s="9">
        <f t="shared" si="5"/>
        <v>0</v>
      </c>
      <c r="P14" s="9">
        <f t="shared" si="6"/>
        <v>0</v>
      </c>
      <c r="Q14" s="15">
        <f t="shared" si="7"/>
        <v>0</v>
      </c>
      <c r="R14" s="15">
        <f t="shared" si="8"/>
        <v>0</v>
      </c>
      <c r="S14" s="15">
        <f t="shared" si="9"/>
        <v>0</v>
      </c>
      <c r="T14" s="15">
        <f t="shared" si="10"/>
        <v>0</v>
      </c>
      <c r="U14" s="15">
        <f t="shared" si="11"/>
        <v>0</v>
      </c>
      <c r="V14" s="15">
        <f t="shared" si="12"/>
        <v>0</v>
      </c>
      <c r="W14" s="15">
        <f t="shared" si="13"/>
        <v>0</v>
      </c>
      <c r="X14" s="15">
        <f t="shared" si="14"/>
        <v>0</v>
      </c>
      <c r="Y14" s="11"/>
      <c r="Z14" s="11"/>
      <c r="AA14" s="11"/>
      <c r="AB14" s="11"/>
      <c r="AC14" s="11"/>
      <c r="AD14" s="11"/>
      <c r="AE14" s="11"/>
      <c r="AF14" s="11"/>
    </row>
    <row r="15" spans="1:32" ht="15.75" x14ac:dyDescent="0.25">
      <c r="A15" s="19" t="s">
        <v>14</v>
      </c>
      <c r="B15" s="6">
        <v>14</v>
      </c>
      <c r="C15" s="6">
        <v>0</v>
      </c>
      <c r="D15" s="6">
        <v>1</v>
      </c>
      <c r="E15" s="6">
        <v>0</v>
      </c>
      <c r="F15" s="6">
        <v>0</v>
      </c>
      <c r="G15" s="3">
        <v>105</v>
      </c>
      <c r="H15" s="7">
        <v>1</v>
      </c>
      <c r="I15" s="7">
        <v>0</v>
      </c>
      <c r="J15" s="9">
        <f t="shared" si="0"/>
        <v>1</v>
      </c>
      <c r="K15" s="9">
        <f t="shared" si="1"/>
        <v>1</v>
      </c>
      <c r="L15" s="9">
        <f t="shared" si="2"/>
        <v>0</v>
      </c>
      <c r="M15" s="9">
        <f t="shared" si="3"/>
        <v>0</v>
      </c>
      <c r="N15" s="9">
        <f t="shared" si="4"/>
        <v>1</v>
      </c>
      <c r="O15" s="9">
        <f t="shared" si="5"/>
        <v>0</v>
      </c>
      <c r="P15" s="9">
        <f t="shared" si="6"/>
        <v>0</v>
      </c>
      <c r="Q15" s="15">
        <f t="shared" si="7"/>
        <v>0</v>
      </c>
      <c r="R15" s="15">
        <f t="shared" si="8"/>
        <v>0</v>
      </c>
      <c r="S15" s="15">
        <f t="shared" si="9"/>
        <v>105</v>
      </c>
      <c r="T15" s="15">
        <f t="shared" si="10"/>
        <v>0</v>
      </c>
      <c r="U15" s="15">
        <f t="shared" si="11"/>
        <v>0</v>
      </c>
      <c r="V15" s="15">
        <f t="shared" si="12"/>
        <v>0</v>
      </c>
      <c r="W15" s="15">
        <f t="shared" si="13"/>
        <v>0</v>
      </c>
      <c r="X15" s="15">
        <f t="shared" si="14"/>
        <v>0</v>
      </c>
      <c r="Y15" s="11"/>
      <c r="Z15" s="11"/>
      <c r="AA15" s="11"/>
      <c r="AB15" s="11"/>
      <c r="AC15" s="11"/>
      <c r="AD15" s="11"/>
      <c r="AE15" s="11"/>
      <c r="AF15" s="11"/>
    </row>
    <row r="16" spans="1:32" ht="15.75" x14ac:dyDescent="0.25">
      <c r="A16" s="19" t="s">
        <v>7</v>
      </c>
      <c r="B16" s="6">
        <v>15</v>
      </c>
      <c r="C16" s="6">
        <v>0</v>
      </c>
      <c r="D16" s="6">
        <v>1</v>
      </c>
      <c r="E16" s="6">
        <v>0</v>
      </c>
      <c r="F16" s="6">
        <v>0</v>
      </c>
      <c r="G16" s="3">
        <v>93</v>
      </c>
      <c r="H16" s="7">
        <v>1</v>
      </c>
      <c r="I16" s="7">
        <v>0</v>
      </c>
      <c r="J16" s="9">
        <f t="shared" si="0"/>
        <v>1</v>
      </c>
      <c r="K16" s="9">
        <f t="shared" si="1"/>
        <v>1</v>
      </c>
      <c r="L16" s="9">
        <f t="shared" si="2"/>
        <v>0</v>
      </c>
      <c r="M16" s="9">
        <f t="shared" si="3"/>
        <v>0</v>
      </c>
      <c r="N16" s="9">
        <f t="shared" si="4"/>
        <v>1</v>
      </c>
      <c r="O16" s="9">
        <f t="shared" si="5"/>
        <v>0</v>
      </c>
      <c r="P16" s="9">
        <f t="shared" si="6"/>
        <v>0</v>
      </c>
      <c r="Q16" s="15">
        <f t="shared" si="7"/>
        <v>0</v>
      </c>
      <c r="R16" s="15">
        <f t="shared" si="8"/>
        <v>0</v>
      </c>
      <c r="S16" s="15">
        <f t="shared" si="9"/>
        <v>93</v>
      </c>
      <c r="T16" s="15">
        <f t="shared" si="10"/>
        <v>0</v>
      </c>
      <c r="U16" s="15">
        <f t="shared" si="11"/>
        <v>0</v>
      </c>
      <c r="V16" s="15">
        <f t="shared" si="12"/>
        <v>0</v>
      </c>
      <c r="W16" s="15">
        <f t="shared" si="13"/>
        <v>0</v>
      </c>
      <c r="X16" s="15">
        <f t="shared" si="14"/>
        <v>0</v>
      </c>
      <c r="Y16" s="11"/>
      <c r="Z16" s="11"/>
      <c r="AA16" s="11"/>
      <c r="AB16" s="11"/>
      <c r="AC16" s="11"/>
      <c r="AD16" s="11"/>
      <c r="AE16" s="11"/>
      <c r="AF16" s="11"/>
    </row>
    <row r="17" spans="1:32" ht="15.75" x14ac:dyDescent="0.25">
      <c r="A17" s="19" t="s">
        <v>24</v>
      </c>
      <c r="B17" s="6">
        <v>16</v>
      </c>
      <c r="C17" s="6">
        <v>0</v>
      </c>
      <c r="D17" s="6">
        <v>1</v>
      </c>
      <c r="E17" s="6">
        <v>0</v>
      </c>
      <c r="F17" s="6">
        <v>0</v>
      </c>
      <c r="G17" s="3">
        <v>91</v>
      </c>
      <c r="H17" s="7">
        <v>0</v>
      </c>
      <c r="I17" s="7">
        <v>0</v>
      </c>
      <c r="J17" s="9">
        <f t="shared" si="0"/>
        <v>0</v>
      </c>
      <c r="K17" s="9">
        <f t="shared" si="1"/>
        <v>0</v>
      </c>
      <c r="L17" s="9">
        <f t="shared" si="2"/>
        <v>0</v>
      </c>
      <c r="M17" s="9">
        <f t="shared" si="3"/>
        <v>0</v>
      </c>
      <c r="N17" s="9">
        <f t="shared" si="4"/>
        <v>0</v>
      </c>
      <c r="O17" s="9">
        <f t="shared" si="5"/>
        <v>0</v>
      </c>
      <c r="P17" s="9">
        <f t="shared" si="6"/>
        <v>0</v>
      </c>
      <c r="Q17" s="15">
        <f t="shared" si="7"/>
        <v>0</v>
      </c>
      <c r="R17" s="15">
        <f t="shared" si="8"/>
        <v>0</v>
      </c>
      <c r="S17" s="15">
        <f t="shared" si="9"/>
        <v>0</v>
      </c>
      <c r="T17" s="15">
        <f t="shared" si="10"/>
        <v>0</v>
      </c>
      <c r="U17" s="15">
        <f t="shared" si="11"/>
        <v>0</v>
      </c>
      <c r="V17" s="15">
        <f t="shared" si="12"/>
        <v>0</v>
      </c>
      <c r="W17" s="15">
        <f t="shared" si="13"/>
        <v>0</v>
      </c>
      <c r="X17" s="15">
        <f t="shared" si="14"/>
        <v>0</v>
      </c>
      <c r="Y17" s="11"/>
      <c r="Z17" s="11"/>
      <c r="AA17" s="11"/>
      <c r="AB17" s="11"/>
      <c r="AC17" s="11"/>
      <c r="AD17" s="11"/>
      <c r="AE17" s="11"/>
      <c r="AF17" s="11"/>
    </row>
    <row r="18" spans="1:32" ht="15.75" x14ac:dyDescent="0.25">
      <c r="A18" s="20" t="s">
        <v>4</v>
      </c>
      <c r="B18" s="6">
        <v>17</v>
      </c>
      <c r="C18" s="6">
        <v>0</v>
      </c>
      <c r="D18" s="6">
        <v>0</v>
      </c>
      <c r="E18" s="6">
        <v>1</v>
      </c>
      <c r="F18" s="6">
        <v>0</v>
      </c>
      <c r="G18" s="3">
        <v>71</v>
      </c>
      <c r="H18" s="7">
        <v>0</v>
      </c>
      <c r="I18" s="7">
        <v>0</v>
      </c>
      <c r="J18" s="9">
        <f t="shared" si="0"/>
        <v>0</v>
      </c>
      <c r="K18" s="9">
        <f t="shared" si="1"/>
        <v>0</v>
      </c>
      <c r="L18" s="9">
        <f t="shared" si="2"/>
        <v>0</v>
      </c>
      <c r="M18" s="9">
        <f t="shared" si="3"/>
        <v>0</v>
      </c>
      <c r="N18" s="9">
        <f t="shared" si="4"/>
        <v>0</v>
      </c>
      <c r="O18" s="9">
        <f t="shared" si="5"/>
        <v>0</v>
      </c>
      <c r="P18" s="9">
        <f t="shared" si="6"/>
        <v>0</v>
      </c>
      <c r="Q18" s="16">
        <f t="shared" si="7"/>
        <v>0</v>
      </c>
      <c r="R18" s="16">
        <f t="shared" si="8"/>
        <v>0</v>
      </c>
      <c r="S18" s="16">
        <f t="shared" si="9"/>
        <v>0</v>
      </c>
      <c r="T18" s="16">
        <f t="shared" si="10"/>
        <v>0</v>
      </c>
      <c r="U18" s="16">
        <f t="shared" si="11"/>
        <v>0</v>
      </c>
      <c r="V18" s="16">
        <f t="shared" si="12"/>
        <v>0</v>
      </c>
      <c r="W18" s="16">
        <f t="shared" si="13"/>
        <v>0</v>
      </c>
      <c r="X18" s="16">
        <f t="shared" si="14"/>
        <v>0</v>
      </c>
      <c r="Y18" s="11"/>
      <c r="Z18" s="11"/>
      <c r="AA18" s="11"/>
      <c r="AB18" s="11"/>
      <c r="AC18" s="11"/>
      <c r="AD18" s="11"/>
      <c r="AE18" s="11"/>
      <c r="AF18" s="11"/>
    </row>
    <row r="19" spans="1:32" ht="15.75" x14ac:dyDescent="0.25">
      <c r="A19" s="20" t="s">
        <v>12</v>
      </c>
      <c r="B19" s="6">
        <v>18</v>
      </c>
      <c r="C19" s="6">
        <v>0</v>
      </c>
      <c r="D19" s="6">
        <v>0</v>
      </c>
      <c r="E19" s="6">
        <v>1</v>
      </c>
      <c r="F19" s="6">
        <v>0</v>
      </c>
      <c r="G19" s="3">
        <v>95</v>
      </c>
      <c r="H19" s="7">
        <v>0</v>
      </c>
      <c r="I19" s="7">
        <v>0</v>
      </c>
      <c r="J19" s="9">
        <f t="shared" si="0"/>
        <v>0</v>
      </c>
      <c r="K19" s="9">
        <f t="shared" si="1"/>
        <v>0</v>
      </c>
      <c r="L19" s="9">
        <f t="shared" si="2"/>
        <v>0</v>
      </c>
      <c r="M19" s="9">
        <f t="shared" si="3"/>
        <v>0</v>
      </c>
      <c r="N19" s="9">
        <f t="shared" si="4"/>
        <v>0</v>
      </c>
      <c r="O19" s="9">
        <f t="shared" si="5"/>
        <v>0</v>
      </c>
      <c r="P19" s="9">
        <f t="shared" si="6"/>
        <v>0</v>
      </c>
      <c r="Q19" s="16">
        <f t="shared" si="7"/>
        <v>0</v>
      </c>
      <c r="R19" s="16">
        <f t="shared" si="8"/>
        <v>0</v>
      </c>
      <c r="S19" s="16">
        <f t="shared" si="9"/>
        <v>0</v>
      </c>
      <c r="T19" s="16">
        <f t="shared" si="10"/>
        <v>0</v>
      </c>
      <c r="U19" s="16">
        <f t="shared" si="11"/>
        <v>0</v>
      </c>
      <c r="V19" s="16">
        <f t="shared" si="12"/>
        <v>0</v>
      </c>
      <c r="W19" s="16">
        <f t="shared" si="13"/>
        <v>0</v>
      </c>
      <c r="X19" s="16">
        <f t="shared" si="14"/>
        <v>0</v>
      </c>
      <c r="Y19" s="11"/>
      <c r="Z19" s="11"/>
      <c r="AA19" s="11"/>
      <c r="AB19" s="11"/>
      <c r="AC19" s="11"/>
      <c r="AD19" s="11"/>
      <c r="AE19" s="11"/>
      <c r="AF19" s="11"/>
    </row>
    <row r="20" spans="1:32" ht="15.75" x14ac:dyDescent="0.25">
      <c r="A20" s="20" t="s">
        <v>1</v>
      </c>
      <c r="B20" s="6">
        <v>19</v>
      </c>
      <c r="C20" s="6">
        <v>0</v>
      </c>
      <c r="D20" s="6">
        <v>0</v>
      </c>
      <c r="E20" s="6">
        <v>1</v>
      </c>
      <c r="F20" s="6">
        <v>0</v>
      </c>
      <c r="G20" s="3">
        <v>107</v>
      </c>
      <c r="H20" s="7">
        <v>1</v>
      </c>
      <c r="I20" s="7">
        <v>0</v>
      </c>
      <c r="J20" s="9">
        <f t="shared" si="0"/>
        <v>1</v>
      </c>
      <c r="K20" s="9">
        <f t="shared" si="1"/>
        <v>0</v>
      </c>
      <c r="L20" s="9">
        <f t="shared" si="2"/>
        <v>1</v>
      </c>
      <c r="M20" s="9">
        <f t="shared" si="3"/>
        <v>0</v>
      </c>
      <c r="N20" s="9">
        <f t="shared" si="4"/>
        <v>0</v>
      </c>
      <c r="O20" s="9">
        <f t="shared" si="5"/>
        <v>1</v>
      </c>
      <c r="P20" s="9">
        <f t="shared" si="6"/>
        <v>0</v>
      </c>
      <c r="Q20" s="16">
        <f t="shared" si="7"/>
        <v>0</v>
      </c>
      <c r="R20" s="16">
        <f t="shared" si="8"/>
        <v>0</v>
      </c>
      <c r="S20" s="16">
        <f t="shared" si="9"/>
        <v>0</v>
      </c>
      <c r="T20" s="16">
        <f t="shared" si="10"/>
        <v>0</v>
      </c>
      <c r="U20" s="16">
        <f t="shared" si="11"/>
        <v>107</v>
      </c>
      <c r="V20" s="16">
        <f t="shared" si="12"/>
        <v>0</v>
      </c>
      <c r="W20" s="16">
        <f t="shared" si="13"/>
        <v>0</v>
      </c>
      <c r="X20" s="16">
        <f t="shared" si="14"/>
        <v>0</v>
      </c>
      <c r="Y20" s="11"/>
      <c r="Z20" s="11"/>
      <c r="AA20" s="11"/>
      <c r="AB20" s="11"/>
      <c r="AC20" s="11"/>
      <c r="AD20" s="11"/>
      <c r="AE20" s="11"/>
      <c r="AF20" s="11"/>
    </row>
    <row r="21" spans="1:32" ht="15.75" x14ac:dyDescent="0.25">
      <c r="A21" s="20" t="s">
        <v>13</v>
      </c>
      <c r="B21" s="6">
        <v>20</v>
      </c>
      <c r="C21" s="6">
        <v>0</v>
      </c>
      <c r="D21" s="6">
        <v>0</v>
      </c>
      <c r="E21" s="6">
        <v>1</v>
      </c>
      <c r="F21" s="6">
        <v>0</v>
      </c>
      <c r="G21" s="3">
        <v>104</v>
      </c>
      <c r="H21" s="7">
        <v>1</v>
      </c>
      <c r="I21" s="7">
        <v>0</v>
      </c>
      <c r="J21" s="9">
        <f t="shared" si="0"/>
        <v>1</v>
      </c>
      <c r="K21" s="9">
        <f t="shared" si="1"/>
        <v>0</v>
      </c>
      <c r="L21" s="9">
        <f t="shared" si="2"/>
        <v>1</v>
      </c>
      <c r="M21" s="9">
        <f t="shared" si="3"/>
        <v>0</v>
      </c>
      <c r="N21" s="9">
        <f t="shared" si="4"/>
        <v>0</v>
      </c>
      <c r="O21" s="9">
        <f t="shared" si="5"/>
        <v>1</v>
      </c>
      <c r="P21" s="9">
        <f t="shared" si="6"/>
        <v>0</v>
      </c>
      <c r="Q21" s="16">
        <f t="shared" si="7"/>
        <v>0</v>
      </c>
      <c r="R21" s="16">
        <f t="shared" si="8"/>
        <v>0</v>
      </c>
      <c r="S21" s="16">
        <f t="shared" si="9"/>
        <v>0</v>
      </c>
      <c r="T21" s="16">
        <f t="shared" si="10"/>
        <v>0</v>
      </c>
      <c r="U21" s="16">
        <f t="shared" si="11"/>
        <v>104</v>
      </c>
      <c r="V21" s="16">
        <f t="shared" si="12"/>
        <v>0</v>
      </c>
      <c r="W21" s="16">
        <f t="shared" si="13"/>
        <v>0</v>
      </c>
      <c r="X21" s="16">
        <f t="shared" si="14"/>
        <v>0</v>
      </c>
      <c r="Y21" s="11"/>
      <c r="Z21" s="11"/>
      <c r="AA21" s="11"/>
      <c r="AB21" s="11"/>
      <c r="AC21" s="11"/>
      <c r="AD21" s="11"/>
      <c r="AE21" s="11"/>
      <c r="AF21" s="11"/>
    </row>
    <row r="22" spans="1:32" ht="15.75" x14ac:dyDescent="0.25">
      <c r="A22" s="20" t="s">
        <v>10</v>
      </c>
      <c r="B22" s="6">
        <v>21</v>
      </c>
      <c r="C22" s="6">
        <v>0</v>
      </c>
      <c r="D22" s="6">
        <v>0</v>
      </c>
      <c r="E22" s="6">
        <v>1</v>
      </c>
      <c r="F22" s="6">
        <v>0</v>
      </c>
      <c r="G22" s="3">
        <v>110</v>
      </c>
      <c r="H22" s="7">
        <v>1</v>
      </c>
      <c r="I22" s="7">
        <v>0</v>
      </c>
      <c r="J22" s="9">
        <f t="shared" si="0"/>
        <v>1</v>
      </c>
      <c r="K22" s="9">
        <f t="shared" si="1"/>
        <v>0</v>
      </c>
      <c r="L22" s="9">
        <f t="shared" si="2"/>
        <v>1</v>
      </c>
      <c r="M22" s="9">
        <f t="shared" si="3"/>
        <v>0</v>
      </c>
      <c r="N22" s="9">
        <f t="shared" si="4"/>
        <v>0</v>
      </c>
      <c r="O22" s="9">
        <f t="shared" si="5"/>
        <v>1</v>
      </c>
      <c r="P22" s="9">
        <f t="shared" si="6"/>
        <v>0</v>
      </c>
      <c r="Q22" s="16">
        <f t="shared" si="7"/>
        <v>0</v>
      </c>
      <c r="R22" s="16">
        <f t="shared" si="8"/>
        <v>0</v>
      </c>
      <c r="S22" s="16">
        <f t="shared" si="9"/>
        <v>0</v>
      </c>
      <c r="T22" s="16">
        <f t="shared" si="10"/>
        <v>0</v>
      </c>
      <c r="U22" s="16">
        <f t="shared" si="11"/>
        <v>110</v>
      </c>
      <c r="V22" s="16">
        <f t="shared" si="12"/>
        <v>0</v>
      </c>
      <c r="W22" s="16">
        <f t="shared" si="13"/>
        <v>0</v>
      </c>
      <c r="X22" s="16">
        <f t="shared" si="14"/>
        <v>0</v>
      </c>
      <c r="Y22" s="11"/>
      <c r="Z22" s="11"/>
      <c r="AA22" s="11"/>
      <c r="AB22" s="11"/>
      <c r="AC22" s="11"/>
      <c r="AD22" s="11"/>
      <c r="AE22" s="11"/>
      <c r="AF22" s="11"/>
    </row>
    <row r="23" spans="1:32" ht="15.75" x14ac:dyDescent="0.25">
      <c r="A23" s="20" t="s">
        <v>2</v>
      </c>
      <c r="B23" s="6">
        <v>22</v>
      </c>
      <c r="C23" s="6">
        <v>0</v>
      </c>
      <c r="D23" s="6">
        <v>0</v>
      </c>
      <c r="E23" s="6">
        <v>1</v>
      </c>
      <c r="F23" s="6">
        <v>0</v>
      </c>
      <c r="G23" s="3">
        <v>81</v>
      </c>
      <c r="H23" s="7">
        <v>0</v>
      </c>
      <c r="I23" s="7">
        <v>0</v>
      </c>
      <c r="J23" s="9">
        <f t="shared" si="0"/>
        <v>0</v>
      </c>
      <c r="K23" s="9">
        <f t="shared" si="1"/>
        <v>0</v>
      </c>
      <c r="L23" s="9">
        <f t="shared" si="2"/>
        <v>0</v>
      </c>
      <c r="M23" s="9">
        <f t="shared" si="3"/>
        <v>0</v>
      </c>
      <c r="N23" s="9">
        <f t="shared" si="4"/>
        <v>0</v>
      </c>
      <c r="O23" s="9">
        <f t="shared" si="5"/>
        <v>0</v>
      </c>
      <c r="P23" s="9">
        <f t="shared" si="6"/>
        <v>0</v>
      </c>
      <c r="Q23" s="16">
        <f t="shared" si="7"/>
        <v>0</v>
      </c>
      <c r="R23" s="16">
        <f t="shared" si="8"/>
        <v>0</v>
      </c>
      <c r="S23" s="16">
        <f t="shared" si="9"/>
        <v>0</v>
      </c>
      <c r="T23" s="16">
        <f t="shared" si="10"/>
        <v>0</v>
      </c>
      <c r="U23" s="16">
        <f t="shared" si="11"/>
        <v>0</v>
      </c>
      <c r="V23" s="16">
        <f t="shared" si="12"/>
        <v>0</v>
      </c>
      <c r="W23" s="16">
        <f t="shared" si="13"/>
        <v>0</v>
      </c>
      <c r="X23" s="16">
        <f t="shared" si="14"/>
        <v>0</v>
      </c>
      <c r="Y23" s="11"/>
      <c r="Z23" s="11"/>
      <c r="AA23" s="11"/>
      <c r="AB23" s="11"/>
      <c r="AC23" s="11"/>
      <c r="AD23" s="11"/>
      <c r="AE23" s="11"/>
      <c r="AF23" s="11"/>
    </row>
    <row r="24" spans="1:32" ht="15.75" x14ac:dyDescent="0.25">
      <c r="A24" s="20" t="s">
        <v>19</v>
      </c>
      <c r="B24" s="6">
        <v>23</v>
      </c>
      <c r="C24" s="6">
        <v>0</v>
      </c>
      <c r="D24" s="6">
        <v>0</v>
      </c>
      <c r="E24" s="6">
        <v>1</v>
      </c>
      <c r="F24" s="6">
        <v>0</v>
      </c>
      <c r="G24" s="3">
        <v>97</v>
      </c>
      <c r="H24" s="7">
        <v>0</v>
      </c>
      <c r="I24" s="7">
        <v>1</v>
      </c>
      <c r="J24" s="9">
        <f t="shared" si="0"/>
        <v>1</v>
      </c>
      <c r="K24" s="9">
        <f t="shared" si="1"/>
        <v>0</v>
      </c>
      <c r="L24" s="9">
        <f t="shared" si="2"/>
        <v>1</v>
      </c>
      <c r="M24" s="9">
        <f t="shared" si="3"/>
        <v>0</v>
      </c>
      <c r="N24" s="9">
        <f t="shared" si="4"/>
        <v>0</v>
      </c>
      <c r="O24" s="9">
        <f t="shared" si="5"/>
        <v>0</v>
      </c>
      <c r="P24" s="9">
        <f t="shared" si="6"/>
        <v>0</v>
      </c>
      <c r="Q24" s="16">
        <f t="shared" si="7"/>
        <v>0</v>
      </c>
      <c r="R24" s="16">
        <f t="shared" si="8"/>
        <v>0</v>
      </c>
      <c r="S24" s="16">
        <f t="shared" si="9"/>
        <v>0</v>
      </c>
      <c r="T24" s="16">
        <f t="shared" si="10"/>
        <v>0</v>
      </c>
      <c r="U24" s="16">
        <f t="shared" si="11"/>
        <v>0</v>
      </c>
      <c r="V24" s="16">
        <f t="shared" si="12"/>
        <v>97</v>
      </c>
      <c r="W24" s="16">
        <f t="shared" si="13"/>
        <v>0</v>
      </c>
      <c r="X24" s="16">
        <f t="shared" si="14"/>
        <v>0</v>
      </c>
      <c r="Y24" s="11"/>
      <c r="Z24" s="11"/>
      <c r="AA24" s="11"/>
      <c r="AB24" s="11"/>
      <c r="AC24" s="11"/>
      <c r="AD24" s="11"/>
      <c r="AE24" s="11"/>
      <c r="AF24" s="11"/>
    </row>
    <row r="25" spans="1:32" ht="15.75" x14ac:dyDescent="0.25">
      <c r="A25" s="21" t="s">
        <v>5</v>
      </c>
      <c r="B25" s="6">
        <v>24</v>
      </c>
      <c r="C25" s="6">
        <v>0</v>
      </c>
      <c r="D25" s="6">
        <v>0</v>
      </c>
      <c r="E25" s="6">
        <v>0</v>
      </c>
      <c r="F25" s="6">
        <v>1</v>
      </c>
      <c r="G25" s="3">
        <v>110</v>
      </c>
      <c r="H25" s="7">
        <v>1</v>
      </c>
      <c r="I25" s="7">
        <v>0</v>
      </c>
      <c r="J25" s="9">
        <f t="shared" si="0"/>
        <v>1</v>
      </c>
      <c r="K25" s="9">
        <f t="shared" si="1"/>
        <v>0</v>
      </c>
      <c r="L25" s="9">
        <f t="shared" si="2"/>
        <v>1</v>
      </c>
      <c r="M25" s="9">
        <f t="shared" si="3"/>
        <v>0</v>
      </c>
      <c r="N25" s="9">
        <f t="shared" si="4"/>
        <v>0</v>
      </c>
      <c r="O25" s="9">
        <f t="shared" si="5"/>
        <v>0</v>
      </c>
      <c r="P25" s="9">
        <f t="shared" si="6"/>
        <v>1</v>
      </c>
      <c r="Q25" s="14">
        <f t="shared" si="7"/>
        <v>0</v>
      </c>
      <c r="R25" s="14">
        <f t="shared" si="8"/>
        <v>0</v>
      </c>
      <c r="S25" s="14">
        <f t="shared" si="9"/>
        <v>0</v>
      </c>
      <c r="T25" s="14">
        <f t="shared" si="10"/>
        <v>0</v>
      </c>
      <c r="U25" s="14">
        <f t="shared" si="11"/>
        <v>0</v>
      </c>
      <c r="V25" s="14">
        <f t="shared" si="12"/>
        <v>0</v>
      </c>
      <c r="W25" s="14">
        <f t="shared" si="13"/>
        <v>110</v>
      </c>
      <c r="X25" s="14">
        <f t="shared" si="14"/>
        <v>0</v>
      </c>
      <c r="Y25" s="11"/>
      <c r="Z25" s="11"/>
      <c r="AA25" s="11"/>
      <c r="AB25" s="11"/>
      <c r="AC25" s="11"/>
      <c r="AD25" s="11"/>
      <c r="AE25" s="11"/>
      <c r="AF25" s="11"/>
    </row>
    <row r="26" spans="1:32" ht="15.75" x14ac:dyDescent="0.25">
      <c r="A26" s="21" t="s">
        <v>18</v>
      </c>
      <c r="B26" s="6">
        <v>25</v>
      </c>
      <c r="C26" s="6">
        <v>0</v>
      </c>
      <c r="D26" s="6">
        <v>0</v>
      </c>
      <c r="E26" s="6">
        <v>0</v>
      </c>
      <c r="F26" s="6">
        <v>1</v>
      </c>
      <c r="G26" s="3">
        <v>67</v>
      </c>
      <c r="H26" s="7">
        <v>0</v>
      </c>
      <c r="I26" s="7">
        <v>0</v>
      </c>
      <c r="J26" s="9">
        <f t="shared" si="0"/>
        <v>0</v>
      </c>
      <c r="K26" s="9">
        <f t="shared" si="1"/>
        <v>0</v>
      </c>
      <c r="L26" s="9">
        <f t="shared" si="2"/>
        <v>0</v>
      </c>
      <c r="M26" s="9">
        <f t="shared" si="3"/>
        <v>0</v>
      </c>
      <c r="N26" s="9">
        <f t="shared" si="4"/>
        <v>0</v>
      </c>
      <c r="O26" s="9">
        <f t="shared" si="5"/>
        <v>0</v>
      </c>
      <c r="P26" s="9">
        <f t="shared" si="6"/>
        <v>0</v>
      </c>
      <c r="Q26" s="14">
        <f t="shared" si="7"/>
        <v>0</v>
      </c>
      <c r="R26" s="14">
        <f t="shared" si="8"/>
        <v>0</v>
      </c>
      <c r="S26" s="14">
        <f t="shared" si="9"/>
        <v>0</v>
      </c>
      <c r="T26" s="14">
        <f t="shared" si="10"/>
        <v>0</v>
      </c>
      <c r="U26" s="14">
        <f t="shared" si="11"/>
        <v>0</v>
      </c>
      <c r="V26" s="14">
        <f t="shared" si="12"/>
        <v>0</v>
      </c>
      <c r="W26" s="14">
        <f t="shared" si="13"/>
        <v>0</v>
      </c>
      <c r="X26" s="14">
        <f t="shared" si="14"/>
        <v>0</v>
      </c>
      <c r="Y26" s="11"/>
      <c r="Z26" s="11"/>
      <c r="AA26" s="11"/>
      <c r="AB26" s="11"/>
      <c r="AC26" s="11"/>
      <c r="AD26" s="11"/>
      <c r="AE26" s="11"/>
      <c r="AF26" s="11"/>
    </row>
    <row r="27" spans="1:32" ht="15.75" x14ac:dyDescent="0.25">
      <c r="A27" s="21" t="s">
        <v>20</v>
      </c>
      <c r="B27" s="6">
        <v>26</v>
      </c>
      <c r="C27" s="6">
        <v>0</v>
      </c>
      <c r="D27" s="6">
        <v>0</v>
      </c>
      <c r="E27" s="6">
        <v>0</v>
      </c>
      <c r="F27" s="6">
        <v>1</v>
      </c>
      <c r="G27" s="3">
        <v>96</v>
      </c>
      <c r="H27" s="7">
        <v>1</v>
      </c>
      <c r="I27" s="7">
        <v>0</v>
      </c>
      <c r="J27" s="9">
        <f t="shared" si="0"/>
        <v>1</v>
      </c>
      <c r="K27" s="9">
        <f t="shared" si="1"/>
        <v>0</v>
      </c>
      <c r="L27" s="9">
        <f t="shared" si="2"/>
        <v>1</v>
      </c>
      <c r="M27" s="9">
        <f t="shared" si="3"/>
        <v>0</v>
      </c>
      <c r="N27" s="9">
        <f t="shared" si="4"/>
        <v>0</v>
      </c>
      <c r="O27" s="9">
        <f t="shared" si="5"/>
        <v>0</v>
      </c>
      <c r="P27" s="9">
        <f t="shared" si="6"/>
        <v>1</v>
      </c>
      <c r="Q27" s="14">
        <f t="shared" si="7"/>
        <v>0</v>
      </c>
      <c r="R27" s="14">
        <f t="shared" si="8"/>
        <v>0</v>
      </c>
      <c r="S27" s="14">
        <f t="shared" si="9"/>
        <v>0</v>
      </c>
      <c r="T27" s="14">
        <f t="shared" si="10"/>
        <v>0</v>
      </c>
      <c r="U27" s="14">
        <f t="shared" si="11"/>
        <v>0</v>
      </c>
      <c r="V27" s="14">
        <f t="shared" si="12"/>
        <v>0</v>
      </c>
      <c r="W27" s="14">
        <f t="shared" si="13"/>
        <v>96</v>
      </c>
      <c r="X27" s="14">
        <f t="shared" si="14"/>
        <v>0</v>
      </c>
      <c r="Y27" s="11"/>
      <c r="Z27" s="11"/>
      <c r="AA27" s="11"/>
      <c r="AB27" s="11"/>
      <c r="AC27" s="11"/>
      <c r="AD27" s="11"/>
      <c r="AE27" s="11"/>
      <c r="AF27" s="11"/>
    </row>
    <row r="28" spans="1:32" ht="15.75" x14ac:dyDescent="0.25">
      <c r="A28" s="21" t="s">
        <v>23</v>
      </c>
      <c r="B28" s="6">
        <v>27</v>
      </c>
      <c r="C28" s="6">
        <v>0</v>
      </c>
      <c r="D28" s="6">
        <v>0</v>
      </c>
      <c r="E28" s="6">
        <v>0</v>
      </c>
      <c r="F28" s="6">
        <v>1</v>
      </c>
      <c r="G28" s="3">
        <v>71</v>
      </c>
      <c r="H28" s="7">
        <v>0</v>
      </c>
      <c r="I28" s="7">
        <v>0</v>
      </c>
      <c r="J28" s="9">
        <f t="shared" si="0"/>
        <v>0</v>
      </c>
      <c r="K28" s="9">
        <f t="shared" si="1"/>
        <v>0</v>
      </c>
      <c r="L28" s="9">
        <f t="shared" si="2"/>
        <v>0</v>
      </c>
      <c r="M28" s="9">
        <f t="shared" si="3"/>
        <v>0</v>
      </c>
      <c r="N28" s="9">
        <f t="shared" si="4"/>
        <v>0</v>
      </c>
      <c r="O28" s="9">
        <f t="shared" si="5"/>
        <v>0</v>
      </c>
      <c r="P28" s="9">
        <f t="shared" si="6"/>
        <v>0</v>
      </c>
      <c r="Q28" s="14">
        <f t="shared" si="7"/>
        <v>0</v>
      </c>
      <c r="R28" s="14">
        <f t="shared" si="8"/>
        <v>0</v>
      </c>
      <c r="S28" s="14">
        <f t="shared" si="9"/>
        <v>0</v>
      </c>
      <c r="T28" s="14">
        <f t="shared" si="10"/>
        <v>0</v>
      </c>
      <c r="U28" s="14">
        <f t="shared" si="11"/>
        <v>0</v>
      </c>
      <c r="V28" s="14">
        <f t="shared" si="12"/>
        <v>0</v>
      </c>
      <c r="W28" s="14">
        <f t="shared" si="13"/>
        <v>0</v>
      </c>
      <c r="X28" s="14">
        <f t="shared" si="14"/>
        <v>0</v>
      </c>
      <c r="Y28" s="11"/>
      <c r="Z28" s="11"/>
      <c r="AA28" s="11"/>
      <c r="AB28" s="11"/>
      <c r="AC28" s="11"/>
      <c r="AD28" s="11"/>
      <c r="AE28" s="11"/>
      <c r="AF28" s="11"/>
    </row>
    <row r="29" spans="1:32" ht="15.75" x14ac:dyDescent="0.25">
      <c r="A29" s="21" t="s">
        <v>38</v>
      </c>
      <c r="B29" s="6">
        <v>28</v>
      </c>
      <c r="C29" s="6">
        <v>0</v>
      </c>
      <c r="D29" s="6">
        <v>0</v>
      </c>
      <c r="E29" s="6">
        <v>0</v>
      </c>
      <c r="F29" s="6">
        <v>1</v>
      </c>
      <c r="G29" s="3">
        <v>68</v>
      </c>
      <c r="H29" s="7">
        <v>0</v>
      </c>
      <c r="I29" s="7">
        <v>0</v>
      </c>
      <c r="J29" s="9">
        <f t="shared" si="0"/>
        <v>0</v>
      </c>
      <c r="K29" s="9">
        <f t="shared" si="1"/>
        <v>0</v>
      </c>
      <c r="L29" s="9">
        <f t="shared" si="2"/>
        <v>0</v>
      </c>
      <c r="M29" s="9">
        <f t="shared" si="3"/>
        <v>0</v>
      </c>
      <c r="N29" s="9">
        <f t="shared" si="4"/>
        <v>0</v>
      </c>
      <c r="O29" s="9">
        <f t="shared" si="5"/>
        <v>0</v>
      </c>
      <c r="P29" s="9">
        <f t="shared" si="6"/>
        <v>0</v>
      </c>
      <c r="Q29" s="14">
        <f t="shared" si="7"/>
        <v>0</v>
      </c>
      <c r="R29" s="14">
        <f t="shared" si="8"/>
        <v>0</v>
      </c>
      <c r="S29" s="14">
        <f t="shared" si="9"/>
        <v>0</v>
      </c>
      <c r="T29" s="14">
        <f t="shared" si="10"/>
        <v>0</v>
      </c>
      <c r="U29" s="14">
        <f t="shared" si="11"/>
        <v>0</v>
      </c>
      <c r="V29" s="14">
        <f t="shared" si="12"/>
        <v>0</v>
      </c>
      <c r="W29" s="14">
        <f t="shared" si="13"/>
        <v>0</v>
      </c>
      <c r="X29" s="14">
        <f t="shared" si="14"/>
        <v>0</v>
      </c>
      <c r="Y29" s="11"/>
      <c r="Z29" s="11"/>
      <c r="AA29" s="11"/>
      <c r="AB29" s="11"/>
      <c r="AC29" s="11"/>
      <c r="AD29" s="11"/>
      <c r="AE29" s="11"/>
      <c r="AF29" s="11"/>
    </row>
    <row r="30" spans="1:32" ht="15.75" x14ac:dyDescent="0.25">
      <c r="A30" s="21" t="s">
        <v>6</v>
      </c>
      <c r="B30" s="6">
        <v>29</v>
      </c>
      <c r="C30" s="6">
        <v>0</v>
      </c>
      <c r="D30" s="6">
        <v>0</v>
      </c>
      <c r="E30" s="6">
        <v>0</v>
      </c>
      <c r="F30" s="6">
        <v>1</v>
      </c>
      <c r="G30" s="3">
        <v>107</v>
      </c>
      <c r="H30" s="7">
        <v>1</v>
      </c>
      <c r="I30" s="7">
        <v>0</v>
      </c>
      <c r="J30" s="9">
        <f t="shared" si="0"/>
        <v>1</v>
      </c>
      <c r="K30" s="9">
        <f t="shared" si="1"/>
        <v>0</v>
      </c>
      <c r="L30" s="9">
        <f t="shared" si="2"/>
        <v>1</v>
      </c>
      <c r="M30" s="9">
        <f t="shared" si="3"/>
        <v>0</v>
      </c>
      <c r="N30" s="9">
        <f t="shared" si="4"/>
        <v>0</v>
      </c>
      <c r="O30" s="9">
        <f t="shared" si="5"/>
        <v>0</v>
      </c>
      <c r="P30" s="9">
        <f t="shared" si="6"/>
        <v>1</v>
      </c>
      <c r="Q30" s="14">
        <f t="shared" si="7"/>
        <v>0</v>
      </c>
      <c r="R30" s="14">
        <f t="shared" si="8"/>
        <v>0</v>
      </c>
      <c r="S30" s="14">
        <f t="shared" si="9"/>
        <v>0</v>
      </c>
      <c r="T30" s="14">
        <f t="shared" si="10"/>
        <v>0</v>
      </c>
      <c r="U30" s="14">
        <f t="shared" si="11"/>
        <v>0</v>
      </c>
      <c r="V30" s="14">
        <f t="shared" si="12"/>
        <v>0</v>
      </c>
      <c r="W30" s="14">
        <f t="shared" si="13"/>
        <v>107</v>
      </c>
      <c r="X30" s="14">
        <f t="shared" si="14"/>
        <v>0</v>
      </c>
      <c r="Y30" s="11"/>
      <c r="Z30" s="11"/>
      <c r="AA30" s="11"/>
      <c r="AB30" s="11"/>
      <c r="AC30" s="11"/>
      <c r="AD30" s="11"/>
      <c r="AE30" s="11"/>
      <c r="AF30" s="11"/>
    </row>
    <row r="31" spans="1:32" ht="15.75" x14ac:dyDescent="0.25">
      <c r="A31" s="21" t="s">
        <v>22</v>
      </c>
      <c r="B31" s="6">
        <v>30</v>
      </c>
      <c r="C31" s="6">
        <v>0</v>
      </c>
      <c r="D31" s="6">
        <v>0</v>
      </c>
      <c r="E31" s="6">
        <v>0</v>
      </c>
      <c r="F31" s="6">
        <v>1</v>
      </c>
      <c r="G31" s="3">
        <v>105</v>
      </c>
      <c r="H31" s="7">
        <v>0</v>
      </c>
      <c r="I31" s="7">
        <v>1</v>
      </c>
      <c r="J31" s="9">
        <f t="shared" si="0"/>
        <v>1</v>
      </c>
      <c r="K31" s="9">
        <f t="shared" si="1"/>
        <v>0</v>
      </c>
      <c r="L31" s="9">
        <f t="shared" si="2"/>
        <v>1</v>
      </c>
      <c r="M31" s="9">
        <f t="shared" si="3"/>
        <v>0</v>
      </c>
      <c r="N31" s="9">
        <f t="shared" si="4"/>
        <v>0</v>
      </c>
      <c r="O31" s="9">
        <f t="shared" si="5"/>
        <v>0</v>
      </c>
      <c r="P31" s="9">
        <f t="shared" si="6"/>
        <v>0</v>
      </c>
      <c r="Q31" s="14">
        <f t="shared" si="7"/>
        <v>0</v>
      </c>
      <c r="R31" s="14">
        <f t="shared" si="8"/>
        <v>0</v>
      </c>
      <c r="S31" s="14">
        <f t="shared" si="9"/>
        <v>0</v>
      </c>
      <c r="T31" s="14">
        <f t="shared" si="10"/>
        <v>0</v>
      </c>
      <c r="U31" s="14">
        <f t="shared" si="11"/>
        <v>0</v>
      </c>
      <c r="V31" s="14">
        <f t="shared" si="12"/>
        <v>0</v>
      </c>
      <c r="W31" s="14">
        <f t="shared" si="13"/>
        <v>0</v>
      </c>
      <c r="X31" s="14">
        <f t="shared" si="14"/>
        <v>105</v>
      </c>
      <c r="Y31" s="11"/>
      <c r="Z31" s="11"/>
      <c r="AA31" s="11"/>
      <c r="AB31" s="11"/>
      <c r="AC31" s="11"/>
      <c r="AD31" s="11"/>
      <c r="AE31" s="11"/>
      <c r="AF31" s="11"/>
    </row>
    <row r="32" spans="1:32" ht="15.75" x14ac:dyDescent="0.25">
      <c r="A32" s="2"/>
      <c r="B32" s="2"/>
      <c r="C32" s="2"/>
      <c r="D32" s="2"/>
      <c r="E32" s="2"/>
      <c r="F32" s="1"/>
    </row>
    <row r="33" spans="1:22" ht="15.75" x14ac:dyDescent="0.25">
      <c r="A33" s="2" t="s">
        <v>45</v>
      </c>
      <c r="B33" s="2"/>
      <c r="C33" s="2"/>
      <c r="D33" s="2"/>
      <c r="E33" s="2"/>
      <c r="F33" s="1"/>
      <c r="H33">
        <f>SUM(H2:H31)</f>
        <v>14</v>
      </c>
      <c r="I33">
        <f>SUM(I2:I31)</f>
        <v>2</v>
      </c>
      <c r="K33">
        <f>SUM(K2:K31)</f>
        <v>8</v>
      </c>
      <c r="L33">
        <f>SUM(L2:L31)</f>
        <v>8</v>
      </c>
      <c r="N33" s="6"/>
      <c r="O33" t="s">
        <v>74</v>
      </c>
      <c r="U33" s="17"/>
      <c r="V33" t="s">
        <v>60</v>
      </c>
    </row>
    <row r="34" spans="1:22" ht="15.75" x14ac:dyDescent="0.25">
      <c r="A34" s="2"/>
      <c r="B34" s="2"/>
      <c r="C34" s="2"/>
      <c r="D34" s="2"/>
      <c r="E34" s="2"/>
      <c r="F34" s="1"/>
      <c r="N34" s="9"/>
      <c r="O34" t="s">
        <v>75</v>
      </c>
      <c r="U34" s="15"/>
      <c r="V34" t="s">
        <v>59</v>
      </c>
    </row>
    <row r="35" spans="1:22" ht="15.75" x14ac:dyDescent="0.25">
      <c r="A35" s="2" t="s">
        <v>36</v>
      </c>
      <c r="B35" s="2"/>
      <c r="C35" s="2"/>
      <c r="D35" s="2"/>
      <c r="E35" s="2"/>
      <c r="F35" s="1"/>
      <c r="N35" s="7"/>
      <c r="O35" t="s">
        <v>76</v>
      </c>
      <c r="U35" s="12"/>
      <c r="V35" t="s">
        <v>61</v>
      </c>
    </row>
    <row r="36" spans="1:22" ht="15.75" x14ac:dyDescent="0.25">
      <c r="A36" s="1" t="s">
        <v>35</v>
      </c>
      <c r="B36">
        <f>SUMPRODUCT(G2:G31,H2:H31)</f>
        <v>1456</v>
      </c>
      <c r="N36" s="3"/>
      <c r="O36" t="s">
        <v>77</v>
      </c>
      <c r="U36" s="14"/>
      <c r="V36" t="s">
        <v>62</v>
      </c>
    </row>
    <row r="37" spans="1:22" ht="15.75" x14ac:dyDescent="0.25">
      <c r="A37" s="1" t="s">
        <v>34</v>
      </c>
      <c r="B37">
        <f>SUMPRODUCT(G2:G31,I2:I31)</f>
        <v>202</v>
      </c>
    </row>
    <row r="39" spans="1:22" ht="15.75" x14ac:dyDescent="0.25">
      <c r="A39" s="1" t="s">
        <v>33</v>
      </c>
      <c r="B39">
        <f>B36+B37</f>
        <v>1658</v>
      </c>
    </row>
    <row r="41" spans="1:22" ht="15.75" x14ac:dyDescent="0.25">
      <c r="A41" s="1" t="s">
        <v>47</v>
      </c>
    </row>
    <row r="42" spans="1:22" x14ac:dyDescent="0.25">
      <c r="B42">
        <f>SUM(H2:H31) +SUM(I2:I31)</f>
        <v>16</v>
      </c>
      <c r="C42" t="s">
        <v>48</v>
      </c>
      <c r="D42">
        <v>16</v>
      </c>
    </row>
    <row r="43" spans="1:22" x14ac:dyDescent="0.25">
      <c r="C43" t="s">
        <v>49</v>
      </c>
      <c r="D43">
        <v>1</v>
      </c>
    </row>
    <row r="44" spans="1:22" x14ac:dyDescent="0.25">
      <c r="B44">
        <f>SUM(K2:K31)</f>
        <v>8</v>
      </c>
      <c r="C44" t="s">
        <v>49</v>
      </c>
      <c r="D44">
        <v>8</v>
      </c>
    </row>
    <row r="45" spans="1:22" x14ac:dyDescent="0.25">
      <c r="B45">
        <f>SUM(L2:L31)</f>
        <v>8</v>
      </c>
      <c r="C45" t="s">
        <v>49</v>
      </c>
      <c r="D45">
        <v>8</v>
      </c>
    </row>
    <row r="47" spans="1:22" x14ac:dyDescent="0.25">
      <c r="A47" t="s">
        <v>54</v>
      </c>
      <c r="B47">
        <f>SUM(M2:M31)</f>
        <v>4</v>
      </c>
      <c r="C47" t="s">
        <v>48</v>
      </c>
      <c r="D47">
        <f>SUM(N2:N31)</f>
        <v>4</v>
      </c>
    </row>
    <row r="48" spans="1:22" x14ac:dyDescent="0.25">
      <c r="A48" t="s">
        <v>55</v>
      </c>
      <c r="B48">
        <f>SUM(O2:O31)</f>
        <v>3</v>
      </c>
      <c r="C48" t="s">
        <v>48</v>
      </c>
      <c r="D48">
        <f>SUM(P2:P31)</f>
        <v>3</v>
      </c>
    </row>
    <row r="50" spans="1:4" x14ac:dyDescent="0.25">
      <c r="A50" t="s">
        <v>57</v>
      </c>
      <c r="B50">
        <f>B47</f>
        <v>4</v>
      </c>
      <c r="C50" t="s">
        <v>56</v>
      </c>
      <c r="D50">
        <f>B48</f>
        <v>3</v>
      </c>
    </row>
    <row r="51" spans="1:4" x14ac:dyDescent="0.25">
      <c r="B51" t="s">
        <v>58</v>
      </c>
    </row>
  </sheetData>
  <autoFilter ref="A1:X31">
    <sortState ref="A2:X31">
      <sortCondition ref="B1:B31"/>
    </sortState>
  </autoFilter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51"/>
  <sheetViews>
    <sheetView topLeftCell="A25" workbookViewId="0">
      <selection activeCell="O11" sqref="O11"/>
    </sheetView>
  </sheetViews>
  <sheetFormatPr defaultRowHeight="15" x14ac:dyDescent="0.25"/>
  <cols>
    <col min="1" max="1" width="21" bestFit="1" customWidth="1"/>
    <col min="25" max="25" width="7.28515625" customWidth="1"/>
    <col min="26" max="26" width="6.7109375" customWidth="1"/>
    <col min="27" max="27" width="6.5703125" customWidth="1"/>
  </cols>
  <sheetData>
    <row r="1" spans="1:32" ht="47.25" x14ac:dyDescent="0.25">
      <c r="A1" s="4" t="s">
        <v>25</v>
      </c>
      <c r="B1" s="4" t="s">
        <v>37</v>
      </c>
      <c r="C1" s="4" t="s">
        <v>28</v>
      </c>
      <c r="D1" s="4" t="s">
        <v>29</v>
      </c>
      <c r="E1" s="4" t="s">
        <v>30</v>
      </c>
      <c r="F1" s="4" t="s">
        <v>31</v>
      </c>
      <c r="G1" s="5" t="s">
        <v>32</v>
      </c>
      <c r="H1" s="5" t="s">
        <v>26</v>
      </c>
      <c r="I1" s="5" t="s">
        <v>27</v>
      </c>
      <c r="J1" s="13" t="s">
        <v>46</v>
      </c>
      <c r="K1" s="13" t="s">
        <v>43</v>
      </c>
      <c r="L1" s="13" t="s">
        <v>44</v>
      </c>
      <c r="M1" s="8" t="s">
        <v>51</v>
      </c>
      <c r="N1" s="8" t="s">
        <v>50</v>
      </c>
      <c r="O1" s="8" t="s">
        <v>52</v>
      </c>
      <c r="P1" s="8" t="s">
        <v>53</v>
      </c>
      <c r="Q1" s="8" t="s">
        <v>66</v>
      </c>
      <c r="R1" s="8" t="s">
        <v>67</v>
      </c>
      <c r="S1" s="8" t="s">
        <v>68</v>
      </c>
      <c r="T1" s="8" t="s">
        <v>69</v>
      </c>
      <c r="U1" s="8" t="s">
        <v>70</v>
      </c>
      <c r="V1" s="8" t="s">
        <v>71</v>
      </c>
      <c r="W1" s="8" t="s">
        <v>72</v>
      </c>
      <c r="X1" s="8" t="s">
        <v>73</v>
      </c>
      <c r="Y1" s="8"/>
      <c r="Z1" s="8"/>
      <c r="AA1" s="8"/>
      <c r="AB1" s="8"/>
    </row>
    <row r="2" spans="1:32" ht="15.75" x14ac:dyDescent="0.25">
      <c r="A2" s="18" t="s">
        <v>16</v>
      </c>
      <c r="B2" s="6">
        <v>1</v>
      </c>
      <c r="C2" s="6">
        <v>1</v>
      </c>
      <c r="D2" s="6">
        <v>0</v>
      </c>
      <c r="E2" s="6">
        <v>0</v>
      </c>
      <c r="F2" s="6">
        <v>0</v>
      </c>
      <c r="G2" s="3">
        <v>92</v>
      </c>
      <c r="H2" s="7">
        <v>0</v>
      </c>
      <c r="I2" s="7">
        <v>0</v>
      </c>
      <c r="J2" s="9">
        <f t="shared" ref="J2:J31" si="0">H2+I2</f>
        <v>0</v>
      </c>
      <c r="K2" s="9">
        <f t="shared" ref="K2:K31" si="1">(C2+D2)*(H2+I2)</f>
        <v>0</v>
      </c>
      <c r="L2" s="9">
        <f t="shared" ref="L2:L31" si="2">(E2+F2)*(H2+I2)</f>
        <v>0</v>
      </c>
      <c r="M2" s="9">
        <f t="shared" ref="M2:M31" si="3">C2*H2</f>
        <v>0</v>
      </c>
      <c r="N2" s="9">
        <f t="shared" ref="N2:N31" si="4">D2*H2</f>
        <v>0</v>
      </c>
      <c r="O2" s="9">
        <f t="shared" ref="O2:O31" si="5">E2*H2</f>
        <v>0</v>
      </c>
      <c r="P2" s="9">
        <f t="shared" ref="P2:P31" si="6">F2*H2</f>
        <v>0</v>
      </c>
      <c r="Q2" s="17">
        <f t="shared" ref="Q2:Q31" si="7">H2*G2*C2</f>
        <v>0</v>
      </c>
      <c r="R2" s="17">
        <f t="shared" ref="R2:R31" si="8">I2*G2*C2</f>
        <v>0</v>
      </c>
      <c r="S2" s="17">
        <f t="shared" ref="S2:S31" si="9">H2*G2*D2</f>
        <v>0</v>
      </c>
      <c r="T2" s="17">
        <f t="shared" ref="T2:T31" si="10">I2*G2*D2</f>
        <v>0</v>
      </c>
      <c r="U2" s="17">
        <f t="shared" ref="U2:U31" si="11">H2*G2*E2</f>
        <v>0</v>
      </c>
      <c r="V2" s="17">
        <f t="shared" ref="V2:V31" si="12">I2*G2*E2</f>
        <v>0</v>
      </c>
      <c r="W2" s="17">
        <f t="shared" ref="W2:W31" si="13">H2*G2*F2</f>
        <v>0</v>
      </c>
      <c r="X2" s="17">
        <f t="shared" ref="X2:X31" si="14">I2*G2*F2</f>
        <v>0</v>
      </c>
      <c r="Y2" s="11"/>
      <c r="Z2" s="11"/>
      <c r="AA2" s="11"/>
      <c r="AB2" s="11"/>
      <c r="AC2" s="11"/>
      <c r="AD2" s="11"/>
      <c r="AE2" s="11"/>
      <c r="AF2" s="11"/>
    </row>
    <row r="3" spans="1:32" ht="14.25" customHeight="1" x14ac:dyDescent="0.25">
      <c r="A3" s="18" t="s">
        <v>21</v>
      </c>
      <c r="B3" s="6">
        <v>2</v>
      </c>
      <c r="C3" s="6">
        <v>1</v>
      </c>
      <c r="D3" s="6">
        <v>0</v>
      </c>
      <c r="E3" s="6">
        <v>0</v>
      </c>
      <c r="F3" s="6">
        <v>0</v>
      </c>
      <c r="G3" s="3">
        <v>80</v>
      </c>
      <c r="H3" s="7">
        <v>0</v>
      </c>
      <c r="I3" s="7">
        <v>0</v>
      </c>
      <c r="J3" s="9">
        <f t="shared" si="0"/>
        <v>0</v>
      </c>
      <c r="K3" s="9">
        <f t="shared" si="1"/>
        <v>0</v>
      </c>
      <c r="L3" s="9">
        <f t="shared" si="2"/>
        <v>0</v>
      </c>
      <c r="M3" s="9">
        <f t="shared" si="3"/>
        <v>0</v>
      </c>
      <c r="N3" s="9">
        <f t="shared" si="4"/>
        <v>0</v>
      </c>
      <c r="O3" s="9">
        <f t="shared" si="5"/>
        <v>0</v>
      </c>
      <c r="P3" s="9">
        <f t="shared" si="6"/>
        <v>0</v>
      </c>
      <c r="Q3" s="17">
        <f t="shared" si="7"/>
        <v>0</v>
      </c>
      <c r="R3" s="17">
        <f t="shared" si="8"/>
        <v>0</v>
      </c>
      <c r="S3" s="17">
        <f t="shared" si="9"/>
        <v>0</v>
      </c>
      <c r="T3" s="17">
        <f t="shared" si="10"/>
        <v>0</v>
      </c>
      <c r="U3" s="17">
        <f t="shared" si="11"/>
        <v>0</v>
      </c>
      <c r="V3" s="17">
        <f t="shared" si="12"/>
        <v>0</v>
      </c>
      <c r="W3" s="17">
        <f t="shared" si="13"/>
        <v>0</v>
      </c>
      <c r="X3" s="17">
        <f t="shared" si="14"/>
        <v>0</v>
      </c>
      <c r="Y3" s="11"/>
      <c r="Z3" s="11"/>
      <c r="AA3" s="11"/>
      <c r="AB3" s="11"/>
      <c r="AC3" s="11"/>
      <c r="AD3" s="11"/>
      <c r="AE3" s="11"/>
      <c r="AF3" s="11"/>
    </row>
    <row r="4" spans="1:32" ht="15.75" x14ac:dyDescent="0.25">
      <c r="A4" s="18" t="s">
        <v>39</v>
      </c>
      <c r="B4" s="6">
        <v>3</v>
      </c>
      <c r="C4" s="6">
        <v>1</v>
      </c>
      <c r="D4" s="6">
        <v>0</v>
      </c>
      <c r="E4" s="6">
        <v>0</v>
      </c>
      <c r="F4" s="6">
        <v>0</v>
      </c>
      <c r="G4" s="3">
        <v>99</v>
      </c>
      <c r="H4" s="7">
        <v>1</v>
      </c>
      <c r="I4" s="7">
        <v>0</v>
      </c>
      <c r="J4" s="9">
        <f t="shared" si="0"/>
        <v>1</v>
      </c>
      <c r="K4" s="9">
        <f t="shared" si="1"/>
        <v>1</v>
      </c>
      <c r="L4" s="9">
        <f t="shared" si="2"/>
        <v>0</v>
      </c>
      <c r="M4" s="9">
        <f t="shared" si="3"/>
        <v>1</v>
      </c>
      <c r="N4" s="9">
        <f t="shared" si="4"/>
        <v>0</v>
      </c>
      <c r="O4" s="9">
        <f t="shared" si="5"/>
        <v>0</v>
      </c>
      <c r="P4" s="9">
        <f t="shared" si="6"/>
        <v>0</v>
      </c>
      <c r="Q4" s="17">
        <f t="shared" si="7"/>
        <v>99</v>
      </c>
      <c r="R4" s="17">
        <f t="shared" si="8"/>
        <v>0</v>
      </c>
      <c r="S4" s="17">
        <f t="shared" si="9"/>
        <v>0</v>
      </c>
      <c r="T4" s="17">
        <f t="shared" si="10"/>
        <v>0</v>
      </c>
      <c r="U4" s="17">
        <f t="shared" si="11"/>
        <v>0</v>
      </c>
      <c r="V4" s="17">
        <f t="shared" si="12"/>
        <v>0</v>
      </c>
      <c r="W4" s="17">
        <f t="shared" si="13"/>
        <v>0</v>
      </c>
      <c r="X4" s="17">
        <f t="shared" si="14"/>
        <v>0</v>
      </c>
      <c r="Y4" s="11"/>
      <c r="Z4" s="11"/>
      <c r="AA4" s="11"/>
      <c r="AB4" s="11"/>
      <c r="AC4" s="11"/>
      <c r="AD4" s="11"/>
      <c r="AE4" s="11"/>
      <c r="AF4" s="11"/>
    </row>
    <row r="5" spans="1:32" ht="15.75" x14ac:dyDescent="0.25">
      <c r="A5" s="18" t="s">
        <v>40</v>
      </c>
      <c r="B5" s="6">
        <v>4</v>
      </c>
      <c r="C5" s="6">
        <v>1</v>
      </c>
      <c r="D5" s="6">
        <v>0</v>
      </c>
      <c r="E5" s="6">
        <v>0</v>
      </c>
      <c r="F5" s="6">
        <v>0</v>
      </c>
      <c r="G5" s="3">
        <v>79</v>
      </c>
      <c r="H5" s="7">
        <v>0</v>
      </c>
      <c r="I5" s="7">
        <v>0</v>
      </c>
      <c r="J5" s="9">
        <f t="shared" si="0"/>
        <v>0</v>
      </c>
      <c r="K5" s="9">
        <f t="shared" si="1"/>
        <v>0</v>
      </c>
      <c r="L5" s="9">
        <f t="shared" si="2"/>
        <v>0</v>
      </c>
      <c r="M5" s="9">
        <f t="shared" si="3"/>
        <v>0</v>
      </c>
      <c r="N5" s="9">
        <f t="shared" si="4"/>
        <v>0</v>
      </c>
      <c r="O5" s="9">
        <f t="shared" si="5"/>
        <v>0</v>
      </c>
      <c r="P5" s="9">
        <f t="shared" si="6"/>
        <v>0</v>
      </c>
      <c r="Q5" s="17">
        <f t="shared" si="7"/>
        <v>0</v>
      </c>
      <c r="R5" s="17">
        <f t="shared" si="8"/>
        <v>0</v>
      </c>
      <c r="S5" s="17">
        <f t="shared" si="9"/>
        <v>0</v>
      </c>
      <c r="T5" s="17">
        <f t="shared" si="10"/>
        <v>0</v>
      </c>
      <c r="U5" s="17">
        <f t="shared" si="11"/>
        <v>0</v>
      </c>
      <c r="V5" s="17">
        <f t="shared" si="12"/>
        <v>0</v>
      </c>
      <c r="W5" s="17">
        <f t="shared" si="13"/>
        <v>0</v>
      </c>
      <c r="X5" s="17">
        <f t="shared" si="14"/>
        <v>0</v>
      </c>
      <c r="Y5" s="11"/>
      <c r="Z5" s="11"/>
      <c r="AA5" s="11"/>
      <c r="AB5" s="11"/>
      <c r="AC5" s="11"/>
      <c r="AD5" s="11"/>
      <c r="AE5" s="11"/>
      <c r="AF5" s="11"/>
    </row>
    <row r="6" spans="1:32" ht="15.75" x14ac:dyDescent="0.25">
      <c r="A6" s="18" t="s">
        <v>41</v>
      </c>
      <c r="B6" s="6">
        <v>5</v>
      </c>
      <c r="C6" s="6">
        <v>1</v>
      </c>
      <c r="D6" s="6">
        <v>0</v>
      </c>
      <c r="E6" s="6">
        <v>0</v>
      </c>
      <c r="F6" s="6">
        <v>0</v>
      </c>
      <c r="G6" s="3">
        <v>97</v>
      </c>
      <c r="H6" s="7">
        <v>1</v>
      </c>
      <c r="I6" s="7">
        <v>0</v>
      </c>
      <c r="J6" s="9">
        <f t="shared" si="0"/>
        <v>1</v>
      </c>
      <c r="K6" s="9">
        <f t="shared" si="1"/>
        <v>1</v>
      </c>
      <c r="L6" s="9">
        <f t="shared" si="2"/>
        <v>0</v>
      </c>
      <c r="M6" s="9">
        <f t="shared" si="3"/>
        <v>1</v>
      </c>
      <c r="N6" s="9">
        <f t="shared" si="4"/>
        <v>0</v>
      </c>
      <c r="O6" s="9">
        <f t="shared" si="5"/>
        <v>0</v>
      </c>
      <c r="P6" s="9">
        <f t="shared" si="6"/>
        <v>0</v>
      </c>
      <c r="Q6" s="17">
        <f t="shared" si="7"/>
        <v>97</v>
      </c>
      <c r="R6" s="17">
        <f t="shared" si="8"/>
        <v>0</v>
      </c>
      <c r="S6" s="17">
        <f t="shared" si="9"/>
        <v>0</v>
      </c>
      <c r="T6" s="17">
        <f t="shared" si="10"/>
        <v>0</v>
      </c>
      <c r="U6" s="17">
        <f t="shared" si="11"/>
        <v>0</v>
      </c>
      <c r="V6" s="17">
        <f t="shared" si="12"/>
        <v>0</v>
      </c>
      <c r="W6" s="17">
        <f t="shared" si="13"/>
        <v>0</v>
      </c>
      <c r="X6" s="17">
        <f t="shared" si="14"/>
        <v>0</v>
      </c>
      <c r="Y6" s="11"/>
      <c r="Z6" s="11"/>
      <c r="AA6" s="11"/>
      <c r="AB6" s="11"/>
      <c r="AC6" s="11"/>
      <c r="AD6" s="11"/>
      <c r="AE6" s="11"/>
      <c r="AF6" s="11"/>
    </row>
    <row r="7" spans="1:32" ht="15.75" x14ac:dyDescent="0.25">
      <c r="A7" s="18" t="s">
        <v>9</v>
      </c>
      <c r="B7" s="6">
        <v>6</v>
      </c>
      <c r="C7" s="6">
        <v>1</v>
      </c>
      <c r="D7" s="6">
        <v>0</v>
      </c>
      <c r="E7" s="6">
        <v>0</v>
      </c>
      <c r="F7" s="6">
        <v>0</v>
      </c>
      <c r="G7" s="3">
        <v>95</v>
      </c>
      <c r="H7" s="7">
        <v>1</v>
      </c>
      <c r="I7" s="7">
        <v>0</v>
      </c>
      <c r="J7" s="9">
        <f t="shared" si="0"/>
        <v>1</v>
      </c>
      <c r="K7" s="9">
        <f t="shared" si="1"/>
        <v>1</v>
      </c>
      <c r="L7" s="9">
        <f t="shared" si="2"/>
        <v>0</v>
      </c>
      <c r="M7" s="9">
        <f t="shared" si="3"/>
        <v>1</v>
      </c>
      <c r="N7" s="9">
        <f t="shared" si="4"/>
        <v>0</v>
      </c>
      <c r="O7" s="9">
        <f t="shared" si="5"/>
        <v>0</v>
      </c>
      <c r="P7" s="9">
        <f t="shared" si="6"/>
        <v>0</v>
      </c>
      <c r="Q7" s="17">
        <f t="shared" si="7"/>
        <v>95</v>
      </c>
      <c r="R7" s="17">
        <f t="shared" si="8"/>
        <v>0</v>
      </c>
      <c r="S7" s="17">
        <f t="shared" si="9"/>
        <v>0</v>
      </c>
      <c r="T7" s="17">
        <f t="shared" si="10"/>
        <v>0</v>
      </c>
      <c r="U7" s="17">
        <f t="shared" si="11"/>
        <v>0</v>
      </c>
      <c r="V7" s="17">
        <f t="shared" si="12"/>
        <v>0</v>
      </c>
      <c r="W7" s="17">
        <f t="shared" si="13"/>
        <v>0</v>
      </c>
      <c r="X7" s="17">
        <f t="shared" si="14"/>
        <v>0</v>
      </c>
      <c r="Y7" s="11"/>
      <c r="Z7" s="11"/>
      <c r="AA7" s="11"/>
      <c r="AB7" s="11"/>
      <c r="AC7" s="11"/>
      <c r="AD7" s="11"/>
      <c r="AE7" s="11"/>
      <c r="AF7" s="11"/>
    </row>
    <row r="8" spans="1:32" ht="15.75" x14ac:dyDescent="0.25">
      <c r="A8" s="18" t="s">
        <v>42</v>
      </c>
      <c r="B8" s="6">
        <v>7</v>
      </c>
      <c r="C8" s="6">
        <v>1</v>
      </c>
      <c r="D8" s="6">
        <v>0</v>
      </c>
      <c r="E8" s="6">
        <v>0</v>
      </c>
      <c r="F8" s="6">
        <v>0</v>
      </c>
      <c r="G8" s="3">
        <v>102</v>
      </c>
      <c r="H8" s="7">
        <v>1</v>
      </c>
      <c r="I8" s="7">
        <v>0</v>
      </c>
      <c r="J8" s="9">
        <f t="shared" si="0"/>
        <v>1</v>
      </c>
      <c r="K8" s="9">
        <f t="shared" si="1"/>
        <v>1</v>
      </c>
      <c r="L8" s="9">
        <f t="shared" si="2"/>
        <v>0</v>
      </c>
      <c r="M8" s="9">
        <f t="shared" si="3"/>
        <v>1</v>
      </c>
      <c r="N8" s="9">
        <f t="shared" si="4"/>
        <v>0</v>
      </c>
      <c r="O8" s="9">
        <f t="shared" si="5"/>
        <v>0</v>
      </c>
      <c r="P8" s="9">
        <f t="shared" si="6"/>
        <v>0</v>
      </c>
      <c r="Q8" s="17">
        <f t="shared" si="7"/>
        <v>102</v>
      </c>
      <c r="R8" s="17">
        <f t="shared" si="8"/>
        <v>0</v>
      </c>
      <c r="S8" s="17">
        <f t="shared" si="9"/>
        <v>0</v>
      </c>
      <c r="T8" s="17">
        <f t="shared" si="10"/>
        <v>0</v>
      </c>
      <c r="U8" s="17">
        <f t="shared" si="11"/>
        <v>0</v>
      </c>
      <c r="V8" s="17">
        <f t="shared" si="12"/>
        <v>0</v>
      </c>
      <c r="W8" s="17">
        <f t="shared" si="13"/>
        <v>0</v>
      </c>
      <c r="X8" s="17">
        <f t="shared" si="14"/>
        <v>0</v>
      </c>
      <c r="Y8" s="11"/>
      <c r="Z8" s="11"/>
      <c r="AA8" s="11"/>
      <c r="AB8" s="11"/>
      <c r="AC8" s="11"/>
      <c r="AD8" s="11"/>
      <c r="AE8" s="11"/>
      <c r="AF8" s="11"/>
    </row>
    <row r="9" spans="1:32" ht="15.75" x14ac:dyDescent="0.25">
      <c r="A9" s="18" t="s">
        <v>0</v>
      </c>
      <c r="B9" s="6">
        <v>8</v>
      </c>
      <c r="C9" s="6">
        <v>1</v>
      </c>
      <c r="D9" s="6">
        <v>0</v>
      </c>
      <c r="E9" s="6">
        <v>0</v>
      </c>
      <c r="F9" s="6">
        <v>0</v>
      </c>
      <c r="G9" s="3">
        <v>94</v>
      </c>
      <c r="H9" s="7">
        <v>0</v>
      </c>
      <c r="I9" s="7">
        <v>0</v>
      </c>
      <c r="J9" s="9">
        <f t="shared" si="0"/>
        <v>0</v>
      </c>
      <c r="K9" s="9">
        <f t="shared" si="1"/>
        <v>0</v>
      </c>
      <c r="L9" s="9">
        <f t="shared" si="2"/>
        <v>0</v>
      </c>
      <c r="M9" s="9">
        <f t="shared" si="3"/>
        <v>0</v>
      </c>
      <c r="N9" s="9">
        <f t="shared" si="4"/>
        <v>0</v>
      </c>
      <c r="O9" s="9">
        <f t="shared" si="5"/>
        <v>0</v>
      </c>
      <c r="P9" s="9">
        <f t="shared" si="6"/>
        <v>0</v>
      </c>
      <c r="Q9" s="17">
        <f t="shared" si="7"/>
        <v>0</v>
      </c>
      <c r="R9" s="17">
        <f t="shared" si="8"/>
        <v>0</v>
      </c>
      <c r="S9" s="17">
        <f t="shared" si="9"/>
        <v>0</v>
      </c>
      <c r="T9" s="17">
        <f t="shared" si="10"/>
        <v>0</v>
      </c>
      <c r="U9" s="17">
        <f t="shared" si="11"/>
        <v>0</v>
      </c>
      <c r="V9" s="17">
        <f t="shared" si="12"/>
        <v>0</v>
      </c>
      <c r="W9" s="17">
        <f t="shared" si="13"/>
        <v>0</v>
      </c>
      <c r="X9" s="17">
        <f t="shared" si="14"/>
        <v>0</v>
      </c>
      <c r="Y9" s="11"/>
      <c r="Z9" s="11"/>
      <c r="AA9" s="11"/>
      <c r="AB9" s="11"/>
      <c r="AC9" s="11"/>
      <c r="AD9" s="11"/>
      <c r="AE9" s="11"/>
      <c r="AF9" s="11"/>
    </row>
    <row r="10" spans="1:32" ht="15" customHeight="1" x14ac:dyDescent="0.25">
      <c r="A10" s="19" t="s">
        <v>8</v>
      </c>
      <c r="B10" s="6">
        <v>9</v>
      </c>
      <c r="C10" s="6">
        <v>0</v>
      </c>
      <c r="D10" s="6">
        <v>1</v>
      </c>
      <c r="E10" s="6">
        <v>0</v>
      </c>
      <c r="F10" s="6">
        <v>0</v>
      </c>
      <c r="G10" s="3">
        <v>94</v>
      </c>
      <c r="H10" s="7">
        <v>1</v>
      </c>
      <c r="I10" s="7">
        <v>0</v>
      </c>
      <c r="J10" s="9">
        <f t="shared" si="0"/>
        <v>1</v>
      </c>
      <c r="K10" s="9">
        <f t="shared" si="1"/>
        <v>1</v>
      </c>
      <c r="L10" s="9">
        <f t="shared" si="2"/>
        <v>0</v>
      </c>
      <c r="M10" s="9">
        <f t="shared" si="3"/>
        <v>0</v>
      </c>
      <c r="N10" s="9">
        <f t="shared" si="4"/>
        <v>1</v>
      </c>
      <c r="O10" s="9">
        <f t="shared" si="5"/>
        <v>0</v>
      </c>
      <c r="P10" s="9">
        <f t="shared" si="6"/>
        <v>0</v>
      </c>
      <c r="Q10" s="15">
        <f t="shared" si="7"/>
        <v>0</v>
      </c>
      <c r="R10" s="15">
        <f t="shared" si="8"/>
        <v>0</v>
      </c>
      <c r="S10" s="15">
        <f t="shared" si="9"/>
        <v>94</v>
      </c>
      <c r="T10" s="15">
        <f t="shared" si="10"/>
        <v>0</v>
      </c>
      <c r="U10" s="15">
        <f t="shared" si="11"/>
        <v>0</v>
      </c>
      <c r="V10" s="15">
        <f t="shared" si="12"/>
        <v>0</v>
      </c>
      <c r="W10" s="15">
        <f t="shared" si="13"/>
        <v>0</v>
      </c>
      <c r="X10" s="15">
        <f t="shared" si="14"/>
        <v>0</v>
      </c>
      <c r="Y10" s="11"/>
      <c r="Z10" s="11"/>
      <c r="AA10" s="11"/>
      <c r="AB10" s="11"/>
      <c r="AC10" s="11"/>
      <c r="AD10" s="11"/>
      <c r="AE10" s="11"/>
      <c r="AF10" s="11"/>
    </row>
    <row r="11" spans="1:32" ht="15.75" x14ac:dyDescent="0.25">
      <c r="A11" s="19" t="s">
        <v>17</v>
      </c>
      <c r="B11" s="6">
        <v>10</v>
      </c>
      <c r="C11" s="6">
        <v>0</v>
      </c>
      <c r="D11" s="6">
        <v>1</v>
      </c>
      <c r="E11" s="6">
        <v>0</v>
      </c>
      <c r="F11" s="6">
        <v>0</v>
      </c>
      <c r="G11" s="3">
        <v>90</v>
      </c>
      <c r="H11" s="7">
        <v>0</v>
      </c>
      <c r="I11" s="7">
        <v>0</v>
      </c>
      <c r="J11" s="9">
        <f t="shared" si="0"/>
        <v>0</v>
      </c>
      <c r="K11" s="9">
        <f t="shared" si="1"/>
        <v>0</v>
      </c>
      <c r="L11" s="9">
        <f t="shared" si="2"/>
        <v>0</v>
      </c>
      <c r="M11" s="9">
        <f t="shared" si="3"/>
        <v>0</v>
      </c>
      <c r="N11" s="9">
        <f t="shared" si="4"/>
        <v>0</v>
      </c>
      <c r="O11" s="9">
        <f t="shared" si="5"/>
        <v>0</v>
      </c>
      <c r="P11" s="9">
        <f t="shared" si="6"/>
        <v>0</v>
      </c>
      <c r="Q11" s="15">
        <f t="shared" si="7"/>
        <v>0</v>
      </c>
      <c r="R11" s="15">
        <f t="shared" si="8"/>
        <v>0</v>
      </c>
      <c r="S11" s="15">
        <f t="shared" si="9"/>
        <v>0</v>
      </c>
      <c r="T11" s="15">
        <f t="shared" si="10"/>
        <v>0</v>
      </c>
      <c r="U11" s="15">
        <f t="shared" si="11"/>
        <v>0</v>
      </c>
      <c r="V11" s="15">
        <f t="shared" si="12"/>
        <v>0</v>
      </c>
      <c r="W11" s="15">
        <f t="shared" si="13"/>
        <v>0</v>
      </c>
      <c r="X11" s="15">
        <f t="shared" si="14"/>
        <v>0</v>
      </c>
      <c r="Y11" s="11"/>
      <c r="Z11" s="11"/>
      <c r="AA11" s="11"/>
      <c r="AB11" s="11"/>
      <c r="AC11" s="11"/>
      <c r="AD11" s="11"/>
      <c r="AE11" s="11"/>
      <c r="AF11" s="11"/>
    </row>
    <row r="12" spans="1:32" ht="15.75" x14ac:dyDescent="0.25">
      <c r="A12" s="19" t="s">
        <v>11</v>
      </c>
      <c r="B12" s="6">
        <v>11</v>
      </c>
      <c r="C12" s="6">
        <v>0</v>
      </c>
      <c r="D12" s="6">
        <v>1</v>
      </c>
      <c r="E12" s="6">
        <v>0</v>
      </c>
      <c r="F12" s="6">
        <v>0</v>
      </c>
      <c r="G12" s="3">
        <v>115</v>
      </c>
      <c r="H12" s="7">
        <v>1</v>
      </c>
      <c r="I12" s="7">
        <v>0</v>
      </c>
      <c r="J12" s="9">
        <f t="shared" si="0"/>
        <v>1</v>
      </c>
      <c r="K12" s="9">
        <f t="shared" si="1"/>
        <v>1</v>
      </c>
      <c r="L12" s="9">
        <f t="shared" si="2"/>
        <v>0</v>
      </c>
      <c r="M12" s="9">
        <f t="shared" si="3"/>
        <v>0</v>
      </c>
      <c r="N12" s="9">
        <f t="shared" si="4"/>
        <v>1</v>
      </c>
      <c r="O12" s="9">
        <f t="shared" si="5"/>
        <v>0</v>
      </c>
      <c r="P12" s="9">
        <f t="shared" si="6"/>
        <v>0</v>
      </c>
      <c r="Q12" s="15">
        <f t="shared" si="7"/>
        <v>0</v>
      </c>
      <c r="R12" s="15">
        <f t="shared" si="8"/>
        <v>0</v>
      </c>
      <c r="S12" s="15">
        <f t="shared" si="9"/>
        <v>115</v>
      </c>
      <c r="T12" s="15">
        <f t="shared" si="10"/>
        <v>0</v>
      </c>
      <c r="U12" s="15">
        <f t="shared" si="11"/>
        <v>0</v>
      </c>
      <c r="V12" s="15">
        <f t="shared" si="12"/>
        <v>0</v>
      </c>
      <c r="W12" s="15">
        <f t="shared" si="13"/>
        <v>0</v>
      </c>
      <c r="X12" s="15">
        <f t="shared" si="14"/>
        <v>0</v>
      </c>
      <c r="Y12" s="11"/>
      <c r="Z12" s="11"/>
      <c r="AA12" s="11"/>
      <c r="AB12" s="11"/>
      <c r="AC12" s="11"/>
      <c r="AD12" s="11"/>
      <c r="AE12" s="11"/>
      <c r="AF12" s="11"/>
    </row>
    <row r="13" spans="1:32" ht="15.75" x14ac:dyDescent="0.25">
      <c r="A13" s="19" t="s">
        <v>3</v>
      </c>
      <c r="B13" s="6">
        <v>12</v>
      </c>
      <c r="C13" s="6">
        <v>0</v>
      </c>
      <c r="D13" s="6">
        <v>1</v>
      </c>
      <c r="E13" s="6">
        <v>0</v>
      </c>
      <c r="F13" s="6">
        <v>0</v>
      </c>
      <c r="G13" s="3">
        <v>85</v>
      </c>
      <c r="H13" s="7">
        <v>0</v>
      </c>
      <c r="I13" s="7">
        <v>0</v>
      </c>
      <c r="J13" s="9">
        <f t="shared" si="0"/>
        <v>0</v>
      </c>
      <c r="K13" s="9">
        <f t="shared" si="1"/>
        <v>0</v>
      </c>
      <c r="L13" s="9">
        <f t="shared" si="2"/>
        <v>0</v>
      </c>
      <c r="M13" s="9">
        <f t="shared" si="3"/>
        <v>0</v>
      </c>
      <c r="N13" s="9">
        <f t="shared" si="4"/>
        <v>0</v>
      </c>
      <c r="O13" s="9">
        <f t="shared" si="5"/>
        <v>0</v>
      </c>
      <c r="P13" s="9">
        <f t="shared" si="6"/>
        <v>0</v>
      </c>
      <c r="Q13" s="15">
        <f t="shared" si="7"/>
        <v>0</v>
      </c>
      <c r="R13" s="15">
        <f t="shared" si="8"/>
        <v>0</v>
      </c>
      <c r="S13" s="15">
        <f t="shared" si="9"/>
        <v>0</v>
      </c>
      <c r="T13" s="15">
        <f t="shared" si="10"/>
        <v>0</v>
      </c>
      <c r="U13" s="15">
        <f t="shared" si="11"/>
        <v>0</v>
      </c>
      <c r="V13" s="15">
        <f t="shared" si="12"/>
        <v>0</v>
      </c>
      <c r="W13" s="15">
        <f t="shared" si="13"/>
        <v>0</v>
      </c>
      <c r="X13" s="15">
        <f t="shared" si="14"/>
        <v>0</v>
      </c>
      <c r="Y13" s="11"/>
      <c r="Z13" s="11"/>
      <c r="AA13" s="11"/>
      <c r="AB13" s="11"/>
      <c r="AC13" s="11"/>
      <c r="AD13" s="11"/>
      <c r="AE13" s="11"/>
      <c r="AF13" s="11"/>
    </row>
    <row r="14" spans="1:32" ht="15.75" x14ac:dyDescent="0.25">
      <c r="A14" s="19" t="s">
        <v>15</v>
      </c>
      <c r="B14" s="6">
        <v>13</v>
      </c>
      <c r="C14" s="6">
        <v>0</v>
      </c>
      <c r="D14" s="6">
        <v>1</v>
      </c>
      <c r="E14" s="6">
        <v>0</v>
      </c>
      <c r="F14" s="6">
        <v>0</v>
      </c>
      <c r="G14" s="3">
        <v>104</v>
      </c>
      <c r="H14" s="7">
        <v>1</v>
      </c>
      <c r="I14" s="7">
        <v>0</v>
      </c>
      <c r="J14" s="9">
        <f t="shared" si="0"/>
        <v>1</v>
      </c>
      <c r="K14" s="9">
        <f t="shared" si="1"/>
        <v>1</v>
      </c>
      <c r="L14" s="9">
        <f t="shared" si="2"/>
        <v>0</v>
      </c>
      <c r="M14" s="9">
        <f t="shared" si="3"/>
        <v>0</v>
      </c>
      <c r="N14" s="9">
        <f t="shared" si="4"/>
        <v>1</v>
      </c>
      <c r="O14" s="9">
        <f t="shared" si="5"/>
        <v>0</v>
      </c>
      <c r="P14" s="9">
        <f t="shared" si="6"/>
        <v>0</v>
      </c>
      <c r="Q14" s="15">
        <f t="shared" si="7"/>
        <v>0</v>
      </c>
      <c r="R14" s="15">
        <f t="shared" si="8"/>
        <v>0</v>
      </c>
      <c r="S14" s="15">
        <f t="shared" si="9"/>
        <v>104</v>
      </c>
      <c r="T14" s="15">
        <f t="shared" si="10"/>
        <v>0</v>
      </c>
      <c r="U14" s="15">
        <f t="shared" si="11"/>
        <v>0</v>
      </c>
      <c r="V14" s="15">
        <f t="shared" si="12"/>
        <v>0</v>
      </c>
      <c r="W14" s="15">
        <f t="shared" si="13"/>
        <v>0</v>
      </c>
      <c r="X14" s="15">
        <f t="shared" si="14"/>
        <v>0</v>
      </c>
      <c r="Y14" s="11"/>
      <c r="Z14" s="11"/>
      <c r="AA14" s="11"/>
      <c r="AB14" s="11"/>
      <c r="AC14" s="11"/>
      <c r="AD14" s="11"/>
      <c r="AE14" s="11"/>
      <c r="AF14" s="11"/>
    </row>
    <row r="15" spans="1:32" ht="15.75" x14ac:dyDescent="0.25">
      <c r="A15" s="19" t="s">
        <v>14</v>
      </c>
      <c r="B15" s="6">
        <v>14</v>
      </c>
      <c r="C15" s="6">
        <v>0</v>
      </c>
      <c r="D15" s="6">
        <v>1</v>
      </c>
      <c r="E15" s="6">
        <v>0</v>
      </c>
      <c r="F15" s="6">
        <v>0</v>
      </c>
      <c r="G15" s="3">
        <v>94</v>
      </c>
      <c r="H15" s="7">
        <v>1</v>
      </c>
      <c r="I15" s="7">
        <v>0</v>
      </c>
      <c r="J15" s="9">
        <f t="shared" si="0"/>
        <v>1</v>
      </c>
      <c r="K15" s="9">
        <f t="shared" si="1"/>
        <v>1</v>
      </c>
      <c r="L15" s="9">
        <f t="shared" si="2"/>
        <v>0</v>
      </c>
      <c r="M15" s="9">
        <f t="shared" si="3"/>
        <v>0</v>
      </c>
      <c r="N15" s="9">
        <f t="shared" si="4"/>
        <v>1</v>
      </c>
      <c r="O15" s="9">
        <f t="shared" si="5"/>
        <v>0</v>
      </c>
      <c r="P15" s="9">
        <f t="shared" si="6"/>
        <v>0</v>
      </c>
      <c r="Q15" s="15">
        <f t="shared" si="7"/>
        <v>0</v>
      </c>
      <c r="R15" s="15">
        <f t="shared" si="8"/>
        <v>0</v>
      </c>
      <c r="S15" s="15">
        <f t="shared" si="9"/>
        <v>94</v>
      </c>
      <c r="T15" s="15">
        <f t="shared" si="10"/>
        <v>0</v>
      </c>
      <c r="U15" s="15">
        <f t="shared" si="11"/>
        <v>0</v>
      </c>
      <c r="V15" s="15">
        <f t="shared" si="12"/>
        <v>0</v>
      </c>
      <c r="W15" s="15">
        <f t="shared" si="13"/>
        <v>0</v>
      </c>
      <c r="X15" s="15">
        <f t="shared" si="14"/>
        <v>0</v>
      </c>
      <c r="Y15" s="11"/>
      <c r="Z15" s="11"/>
      <c r="AA15" s="11"/>
      <c r="AB15" s="11"/>
      <c r="AC15" s="11"/>
      <c r="AD15" s="11"/>
      <c r="AE15" s="11"/>
      <c r="AF15" s="11"/>
    </row>
    <row r="16" spans="1:32" ht="15.75" x14ac:dyDescent="0.25">
      <c r="A16" s="19" t="s">
        <v>7</v>
      </c>
      <c r="B16" s="6">
        <v>15</v>
      </c>
      <c r="C16" s="6">
        <v>0</v>
      </c>
      <c r="D16" s="6">
        <v>1</v>
      </c>
      <c r="E16" s="6">
        <v>0</v>
      </c>
      <c r="F16" s="6">
        <v>0</v>
      </c>
      <c r="G16" s="3">
        <v>71</v>
      </c>
      <c r="H16" s="7">
        <v>0</v>
      </c>
      <c r="I16" s="7">
        <v>0</v>
      </c>
      <c r="J16" s="9">
        <f t="shared" si="0"/>
        <v>0</v>
      </c>
      <c r="K16" s="9">
        <f t="shared" si="1"/>
        <v>0</v>
      </c>
      <c r="L16" s="9">
        <f t="shared" si="2"/>
        <v>0</v>
      </c>
      <c r="M16" s="9">
        <f t="shared" si="3"/>
        <v>0</v>
      </c>
      <c r="N16" s="9">
        <f t="shared" si="4"/>
        <v>0</v>
      </c>
      <c r="O16" s="9">
        <f t="shared" si="5"/>
        <v>0</v>
      </c>
      <c r="P16" s="9">
        <f t="shared" si="6"/>
        <v>0</v>
      </c>
      <c r="Q16" s="15">
        <f t="shared" si="7"/>
        <v>0</v>
      </c>
      <c r="R16" s="15">
        <f t="shared" si="8"/>
        <v>0</v>
      </c>
      <c r="S16" s="15">
        <f t="shared" si="9"/>
        <v>0</v>
      </c>
      <c r="T16" s="15">
        <f t="shared" si="10"/>
        <v>0</v>
      </c>
      <c r="U16" s="15">
        <f t="shared" si="11"/>
        <v>0</v>
      </c>
      <c r="V16" s="15">
        <f t="shared" si="12"/>
        <v>0</v>
      </c>
      <c r="W16" s="15">
        <f t="shared" si="13"/>
        <v>0</v>
      </c>
      <c r="X16" s="15">
        <f t="shared" si="14"/>
        <v>0</v>
      </c>
      <c r="Y16" s="11"/>
      <c r="Z16" s="11"/>
      <c r="AA16" s="11"/>
      <c r="AB16" s="11"/>
      <c r="AC16" s="11"/>
      <c r="AD16" s="11"/>
      <c r="AE16" s="11"/>
      <c r="AF16" s="11"/>
    </row>
    <row r="17" spans="1:32" ht="15.75" x14ac:dyDescent="0.25">
      <c r="A17" s="19" t="s">
        <v>24</v>
      </c>
      <c r="B17" s="6">
        <v>16</v>
      </c>
      <c r="C17" s="6">
        <v>0</v>
      </c>
      <c r="D17" s="6">
        <v>1</v>
      </c>
      <c r="E17" s="6">
        <v>0</v>
      </c>
      <c r="F17" s="6">
        <v>0</v>
      </c>
      <c r="G17" s="3">
        <v>83</v>
      </c>
      <c r="H17" s="7">
        <v>0</v>
      </c>
      <c r="I17" s="7">
        <v>0</v>
      </c>
      <c r="J17" s="9">
        <f t="shared" si="0"/>
        <v>0</v>
      </c>
      <c r="K17" s="9">
        <f t="shared" si="1"/>
        <v>0</v>
      </c>
      <c r="L17" s="9">
        <f t="shared" si="2"/>
        <v>0</v>
      </c>
      <c r="M17" s="9">
        <f t="shared" si="3"/>
        <v>0</v>
      </c>
      <c r="N17" s="9">
        <f t="shared" si="4"/>
        <v>0</v>
      </c>
      <c r="O17" s="9">
        <f t="shared" si="5"/>
        <v>0</v>
      </c>
      <c r="P17" s="9">
        <f t="shared" si="6"/>
        <v>0</v>
      </c>
      <c r="Q17" s="15">
        <f t="shared" si="7"/>
        <v>0</v>
      </c>
      <c r="R17" s="15">
        <f t="shared" si="8"/>
        <v>0</v>
      </c>
      <c r="S17" s="15">
        <f t="shared" si="9"/>
        <v>0</v>
      </c>
      <c r="T17" s="15">
        <f t="shared" si="10"/>
        <v>0</v>
      </c>
      <c r="U17" s="15">
        <f t="shared" si="11"/>
        <v>0</v>
      </c>
      <c r="V17" s="15">
        <f t="shared" si="12"/>
        <v>0</v>
      </c>
      <c r="W17" s="15">
        <f t="shared" si="13"/>
        <v>0</v>
      </c>
      <c r="X17" s="15">
        <f t="shared" si="14"/>
        <v>0</v>
      </c>
      <c r="Y17" s="11"/>
      <c r="Z17" s="11"/>
      <c r="AA17" s="11"/>
      <c r="AB17" s="11"/>
      <c r="AC17" s="11"/>
      <c r="AD17" s="11"/>
      <c r="AE17" s="11"/>
      <c r="AF17" s="11"/>
    </row>
    <row r="18" spans="1:32" ht="15.75" x14ac:dyDescent="0.25">
      <c r="A18" s="20" t="s">
        <v>4</v>
      </c>
      <c r="B18" s="6">
        <v>17</v>
      </c>
      <c r="C18" s="6">
        <v>0</v>
      </c>
      <c r="D18" s="6">
        <v>0</v>
      </c>
      <c r="E18" s="6">
        <v>1</v>
      </c>
      <c r="F18" s="6">
        <v>0</v>
      </c>
      <c r="G18" s="3">
        <v>88</v>
      </c>
      <c r="H18" s="7">
        <v>0</v>
      </c>
      <c r="I18" s="7">
        <v>0</v>
      </c>
      <c r="J18" s="9">
        <f t="shared" si="0"/>
        <v>0</v>
      </c>
      <c r="K18" s="9">
        <f t="shared" si="1"/>
        <v>0</v>
      </c>
      <c r="L18" s="9">
        <f t="shared" si="2"/>
        <v>0</v>
      </c>
      <c r="M18" s="9">
        <f t="shared" si="3"/>
        <v>0</v>
      </c>
      <c r="N18" s="9">
        <f t="shared" si="4"/>
        <v>0</v>
      </c>
      <c r="O18" s="9">
        <f t="shared" si="5"/>
        <v>0</v>
      </c>
      <c r="P18" s="9">
        <f t="shared" si="6"/>
        <v>0</v>
      </c>
      <c r="Q18" s="16">
        <f t="shared" si="7"/>
        <v>0</v>
      </c>
      <c r="R18" s="16">
        <f t="shared" si="8"/>
        <v>0</v>
      </c>
      <c r="S18" s="16">
        <f t="shared" si="9"/>
        <v>0</v>
      </c>
      <c r="T18" s="16">
        <f t="shared" si="10"/>
        <v>0</v>
      </c>
      <c r="U18" s="16">
        <f t="shared" si="11"/>
        <v>0</v>
      </c>
      <c r="V18" s="16">
        <f t="shared" si="12"/>
        <v>0</v>
      </c>
      <c r="W18" s="16">
        <f t="shared" si="13"/>
        <v>0</v>
      </c>
      <c r="X18" s="16">
        <f t="shared" si="14"/>
        <v>0</v>
      </c>
      <c r="Y18" s="11"/>
      <c r="Z18" s="11"/>
      <c r="AA18" s="11"/>
      <c r="AB18" s="11"/>
      <c r="AC18" s="11"/>
      <c r="AD18" s="11"/>
      <c r="AE18" s="11"/>
      <c r="AF18" s="11"/>
    </row>
    <row r="19" spans="1:32" ht="15.75" x14ac:dyDescent="0.25">
      <c r="A19" s="20" t="s">
        <v>12</v>
      </c>
      <c r="B19" s="6">
        <v>18</v>
      </c>
      <c r="C19" s="6">
        <v>0</v>
      </c>
      <c r="D19" s="6">
        <v>0</v>
      </c>
      <c r="E19" s="6">
        <v>1</v>
      </c>
      <c r="F19" s="6">
        <v>0</v>
      </c>
      <c r="G19" s="3">
        <v>95</v>
      </c>
      <c r="H19" s="7">
        <v>1</v>
      </c>
      <c r="I19" s="7">
        <v>0</v>
      </c>
      <c r="J19" s="9">
        <f t="shared" si="0"/>
        <v>1</v>
      </c>
      <c r="K19" s="9">
        <f t="shared" si="1"/>
        <v>0</v>
      </c>
      <c r="L19" s="9">
        <f t="shared" si="2"/>
        <v>1</v>
      </c>
      <c r="M19" s="9">
        <f t="shared" si="3"/>
        <v>0</v>
      </c>
      <c r="N19" s="9">
        <f t="shared" si="4"/>
        <v>0</v>
      </c>
      <c r="O19" s="9">
        <f t="shared" si="5"/>
        <v>1</v>
      </c>
      <c r="P19" s="9">
        <f t="shared" si="6"/>
        <v>0</v>
      </c>
      <c r="Q19" s="16">
        <f t="shared" si="7"/>
        <v>0</v>
      </c>
      <c r="R19" s="16">
        <f t="shared" si="8"/>
        <v>0</v>
      </c>
      <c r="S19" s="16">
        <f t="shared" si="9"/>
        <v>0</v>
      </c>
      <c r="T19" s="16">
        <f t="shared" si="10"/>
        <v>0</v>
      </c>
      <c r="U19" s="16">
        <f t="shared" si="11"/>
        <v>95</v>
      </c>
      <c r="V19" s="16">
        <f t="shared" si="12"/>
        <v>0</v>
      </c>
      <c r="W19" s="16">
        <f t="shared" si="13"/>
        <v>0</v>
      </c>
      <c r="X19" s="16">
        <f t="shared" si="14"/>
        <v>0</v>
      </c>
      <c r="Y19" s="11"/>
      <c r="Z19" s="11"/>
      <c r="AA19" s="11"/>
      <c r="AB19" s="11"/>
      <c r="AC19" s="11"/>
      <c r="AD19" s="11"/>
      <c r="AE19" s="11"/>
      <c r="AF19" s="11"/>
    </row>
    <row r="20" spans="1:32" ht="15.75" x14ac:dyDescent="0.25">
      <c r="A20" s="20" t="s">
        <v>1</v>
      </c>
      <c r="B20" s="6">
        <v>19</v>
      </c>
      <c r="C20" s="6">
        <v>0</v>
      </c>
      <c r="D20" s="6">
        <v>0</v>
      </c>
      <c r="E20" s="6">
        <v>1</v>
      </c>
      <c r="F20" s="6">
        <v>0</v>
      </c>
      <c r="G20" s="3">
        <v>97</v>
      </c>
      <c r="H20" s="7">
        <v>1</v>
      </c>
      <c r="I20" s="7">
        <v>0</v>
      </c>
      <c r="J20" s="9">
        <f t="shared" si="0"/>
        <v>1</v>
      </c>
      <c r="K20" s="9">
        <f t="shared" si="1"/>
        <v>0</v>
      </c>
      <c r="L20" s="9">
        <f t="shared" si="2"/>
        <v>1</v>
      </c>
      <c r="M20" s="9">
        <f t="shared" si="3"/>
        <v>0</v>
      </c>
      <c r="N20" s="9">
        <f t="shared" si="4"/>
        <v>0</v>
      </c>
      <c r="O20" s="9">
        <f t="shared" si="5"/>
        <v>1</v>
      </c>
      <c r="P20" s="9">
        <f t="shared" si="6"/>
        <v>0</v>
      </c>
      <c r="Q20" s="16">
        <f t="shared" si="7"/>
        <v>0</v>
      </c>
      <c r="R20" s="16">
        <f t="shared" si="8"/>
        <v>0</v>
      </c>
      <c r="S20" s="16">
        <f t="shared" si="9"/>
        <v>0</v>
      </c>
      <c r="T20" s="16">
        <f t="shared" si="10"/>
        <v>0</v>
      </c>
      <c r="U20" s="16">
        <f t="shared" si="11"/>
        <v>97</v>
      </c>
      <c r="V20" s="16">
        <f t="shared" si="12"/>
        <v>0</v>
      </c>
      <c r="W20" s="16">
        <f t="shared" si="13"/>
        <v>0</v>
      </c>
      <c r="X20" s="16">
        <f t="shared" si="14"/>
        <v>0</v>
      </c>
      <c r="Y20" s="11"/>
      <c r="Z20" s="11"/>
      <c r="AA20" s="11"/>
      <c r="AB20" s="11"/>
      <c r="AC20" s="11"/>
      <c r="AD20" s="11"/>
      <c r="AE20" s="11"/>
      <c r="AF20" s="11"/>
    </row>
    <row r="21" spans="1:32" ht="15.75" x14ac:dyDescent="0.25">
      <c r="A21" s="20" t="s">
        <v>13</v>
      </c>
      <c r="B21" s="6">
        <v>20</v>
      </c>
      <c r="C21" s="6">
        <v>0</v>
      </c>
      <c r="D21" s="6">
        <v>0</v>
      </c>
      <c r="E21" s="6">
        <v>1</v>
      </c>
      <c r="F21" s="6">
        <v>0</v>
      </c>
      <c r="G21" s="3">
        <v>98</v>
      </c>
      <c r="H21" s="7">
        <v>1</v>
      </c>
      <c r="I21" s="7">
        <v>0</v>
      </c>
      <c r="J21" s="9">
        <f t="shared" si="0"/>
        <v>1</v>
      </c>
      <c r="K21" s="9">
        <f t="shared" si="1"/>
        <v>0</v>
      </c>
      <c r="L21" s="9">
        <f t="shared" si="2"/>
        <v>1</v>
      </c>
      <c r="M21" s="9">
        <f t="shared" si="3"/>
        <v>0</v>
      </c>
      <c r="N21" s="9">
        <f t="shared" si="4"/>
        <v>0</v>
      </c>
      <c r="O21" s="9">
        <f t="shared" si="5"/>
        <v>1</v>
      </c>
      <c r="P21" s="9">
        <f t="shared" si="6"/>
        <v>0</v>
      </c>
      <c r="Q21" s="16">
        <f t="shared" si="7"/>
        <v>0</v>
      </c>
      <c r="R21" s="16">
        <f t="shared" si="8"/>
        <v>0</v>
      </c>
      <c r="S21" s="16">
        <f t="shared" si="9"/>
        <v>0</v>
      </c>
      <c r="T21" s="16">
        <f t="shared" si="10"/>
        <v>0</v>
      </c>
      <c r="U21" s="16">
        <f t="shared" si="11"/>
        <v>98</v>
      </c>
      <c r="V21" s="16">
        <f t="shared" si="12"/>
        <v>0</v>
      </c>
      <c r="W21" s="16">
        <f t="shared" si="13"/>
        <v>0</v>
      </c>
      <c r="X21" s="16">
        <f t="shared" si="14"/>
        <v>0</v>
      </c>
      <c r="Y21" s="11"/>
      <c r="Z21" s="11"/>
      <c r="AA21" s="11"/>
      <c r="AB21" s="11"/>
      <c r="AC21" s="11"/>
      <c r="AD21" s="11"/>
      <c r="AE21" s="11"/>
      <c r="AF21" s="11"/>
    </row>
    <row r="22" spans="1:32" ht="15.75" x14ac:dyDescent="0.25">
      <c r="A22" s="20" t="s">
        <v>10</v>
      </c>
      <c r="B22" s="6">
        <v>21</v>
      </c>
      <c r="C22" s="6">
        <v>0</v>
      </c>
      <c r="D22" s="6">
        <v>0</v>
      </c>
      <c r="E22" s="6">
        <v>1</v>
      </c>
      <c r="F22" s="6">
        <v>0</v>
      </c>
      <c r="G22" s="3">
        <v>91</v>
      </c>
      <c r="H22" s="7">
        <v>1</v>
      </c>
      <c r="I22" s="7">
        <v>0</v>
      </c>
      <c r="J22" s="9">
        <f t="shared" si="0"/>
        <v>1</v>
      </c>
      <c r="K22" s="9">
        <f t="shared" si="1"/>
        <v>0</v>
      </c>
      <c r="L22" s="9">
        <f t="shared" si="2"/>
        <v>1</v>
      </c>
      <c r="M22" s="9">
        <f t="shared" si="3"/>
        <v>0</v>
      </c>
      <c r="N22" s="9">
        <f t="shared" si="4"/>
        <v>0</v>
      </c>
      <c r="O22" s="9">
        <f t="shared" si="5"/>
        <v>1</v>
      </c>
      <c r="P22" s="9">
        <f t="shared" si="6"/>
        <v>0</v>
      </c>
      <c r="Q22" s="16">
        <f t="shared" si="7"/>
        <v>0</v>
      </c>
      <c r="R22" s="16">
        <f t="shared" si="8"/>
        <v>0</v>
      </c>
      <c r="S22" s="16">
        <f t="shared" si="9"/>
        <v>0</v>
      </c>
      <c r="T22" s="16">
        <f t="shared" si="10"/>
        <v>0</v>
      </c>
      <c r="U22" s="16">
        <f t="shared" si="11"/>
        <v>91</v>
      </c>
      <c r="V22" s="16">
        <f t="shared" si="12"/>
        <v>0</v>
      </c>
      <c r="W22" s="16">
        <f t="shared" si="13"/>
        <v>0</v>
      </c>
      <c r="X22" s="16">
        <f t="shared" si="14"/>
        <v>0</v>
      </c>
      <c r="Y22" s="11"/>
      <c r="Z22" s="11"/>
      <c r="AA22" s="11"/>
      <c r="AB22" s="11"/>
      <c r="AC22" s="11"/>
      <c r="AD22" s="11"/>
      <c r="AE22" s="11"/>
      <c r="AF22" s="11"/>
    </row>
    <row r="23" spans="1:32" ht="15.75" x14ac:dyDescent="0.25">
      <c r="A23" s="20" t="s">
        <v>2</v>
      </c>
      <c r="B23" s="6">
        <v>22</v>
      </c>
      <c r="C23" s="6">
        <v>0</v>
      </c>
      <c r="D23" s="6">
        <v>0</v>
      </c>
      <c r="E23" s="6">
        <v>1</v>
      </c>
      <c r="F23" s="6">
        <v>0</v>
      </c>
      <c r="G23" s="3">
        <v>79</v>
      </c>
      <c r="H23" s="7">
        <v>0</v>
      </c>
      <c r="I23" s="7">
        <v>0</v>
      </c>
      <c r="J23" s="9">
        <f t="shared" si="0"/>
        <v>0</v>
      </c>
      <c r="K23" s="9">
        <f t="shared" si="1"/>
        <v>0</v>
      </c>
      <c r="L23" s="9">
        <f t="shared" si="2"/>
        <v>0</v>
      </c>
      <c r="M23" s="9">
        <f t="shared" si="3"/>
        <v>0</v>
      </c>
      <c r="N23" s="9">
        <f t="shared" si="4"/>
        <v>0</v>
      </c>
      <c r="O23" s="9">
        <f t="shared" si="5"/>
        <v>0</v>
      </c>
      <c r="P23" s="9">
        <f t="shared" si="6"/>
        <v>0</v>
      </c>
      <c r="Q23" s="16">
        <f t="shared" si="7"/>
        <v>0</v>
      </c>
      <c r="R23" s="16">
        <f t="shared" si="8"/>
        <v>0</v>
      </c>
      <c r="S23" s="16">
        <f t="shared" si="9"/>
        <v>0</v>
      </c>
      <c r="T23" s="16">
        <f t="shared" si="10"/>
        <v>0</v>
      </c>
      <c r="U23" s="16">
        <f t="shared" si="11"/>
        <v>0</v>
      </c>
      <c r="V23" s="16">
        <f t="shared" si="12"/>
        <v>0</v>
      </c>
      <c r="W23" s="16">
        <f t="shared" si="13"/>
        <v>0</v>
      </c>
      <c r="X23" s="16">
        <f t="shared" si="14"/>
        <v>0</v>
      </c>
      <c r="Y23" s="11"/>
      <c r="Z23" s="11"/>
      <c r="AA23" s="11"/>
      <c r="AB23" s="11"/>
      <c r="AC23" s="11"/>
      <c r="AD23" s="11"/>
      <c r="AE23" s="11"/>
      <c r="AF23" s="11"/>
    </row>
    <row r="24" spans="1:32" ht="15.75" x14ac:dyDescent="0.25">
      <c r="A24" s="20" t="s">
        <v>19</v>
      </c>
      <c r="B24" s="6">
        <v>23</v>
      </c>
      <c r="C24" s="6">
        <v>0</v>
      </c>
      <c r="D24" s="6">
        <v>0</v>
      </c>
      <c r="E24" s="6">
        <v>1</v>
      </c>
      <c r="F24" s="6">
        <v>0</v>
      </c>
      <c r="G24" s="3">
        <v>76</v>
      </c>
      <c r="H24" s="7">
        <v>0</v>
      </c>
      <c r="I24" s="7">
        <v>0</v>
      </c>
      <c r="J24" s="9">
        <f t="shared" si="0"/>
        <v>0</v>
      </c>
      <c r="K24" s="9">
        <f t="shared" si="1"/>
        <v>0</v>
      </c>
      <c r="L24" s="9">
        <f t="shared" si="2"/>
        <v>0</v>
      </c>
      <c r="M24" s="9">
        <f t="shared" si="3"/>
        <v>0</v>
      </c>
      <c r="N24" s="9">
        <f t="shared" si="4"/>
        <v>0</v>
      </c>
      <c r="O24" s="9">
        <f t="shared" si="5"/>
        <v>0</v>
      </c>
      <c r="P24" s="9">
        <f t="shared" si="6"/>
        <v>0</v>
      </c>
      <c r="Q24" s="16">
        <f t="shared" si="7"/>
        <v>0</v>
      </c>
      <c r="R24" s="16">
        <f t="shared" si="8"/>
        <v>0</v>
      </c>
      <c r="S24" s="16">
        <f t="shared" si="9"/>
        <v>0</v>
      </c>
      <c r="T24" s="16">
        <f t="shared" si="10"/>
        <v>0</v>
      </c>
      <c r="U24" s="16">
        <f t="shared" si="11"/>
        <v>0</v>
      </c>
      <c r="V24" s="16">
        <f t="shared" si="12"/>
        <v>0</v>
      </c>
      <c r="W24" s="16">
        <f t="shared" si="13"/>
        <v>0</v>
      </c>
      <c r="X24" s="16">
        <f t="shared" si="14"/>
        <v>0</v>
      </c>
      <c r="Y24" s="11"/>
      <c r="Z24" s="11"/>
      <c r="AA24" s="11"/>
      <c r="AB24" s="11"/>
      <c r="AC24" s="11"/>
      <c r="AD24" s="11"/>
      <c r="AE24" s="11"/>
      <c r="AF24" s="11"/>
    </row>
    <row r="25" spans="1:32" ht="15.75" x14ac:dyDescent="0.25">
      <c r="A25" s="21" t="s">
        <v>5</v>
      </c>
      <c r="B25" s="6">
        <v>24</v>
      </c>
      <c r="C25" s="6">
        <v>0</v>
      </c>
      <c r="D25" s="6">
        <v>0</v>
      </c>
      <c r="E25" s="6">
        <v>0</v>
      </c>
      <c r="F25" s="6">
        <v>1</v>
      </c>
      <c r="G25" s="3">
        <v>102</v>
      </c>
      <c r="H25" s="7">
        <v>1</v>
      </c>
      <c r="I25" s="7">
        <v>0</v>
      </c>
      <c r="J25" s="9">
        <f t="shared" si="0"/>
        <v>1</v>
      </c>
      <c r="K25" s="9">
        <f t="shared" si="1"/>
        <v>0</v>
      </c>
      <c r="L25" s="9">
        <f t="shared" si="2"/>
        <v>1</v>
      </c>
      <c r="M25" s="9">
        <f t="shared" si="3"/>
        <v>0</v>
      </c>
      <c r="N25" s="9">
        <f t="shared" si="4"/>
        <v>0</v>
      </c>
      <c r="O25" s="9">
        <f t="shared" si="5"/>
        <v>0</v>
      </c>
      <c r="P25" s="9">
        <f t="shared" si="6"/>
        <v>1</v>
      </c>
      <c r="Q25" s="14">
        <f t="shared" si="7"/>
        <v>0</v>
      </c>
      <c r="R25" s="14">
        <f t="shared" si="8"/>
        <v>0</v>
      </c>
      <c r="S25" s="14">
        <f t="shared" si="9"/>
        <v>0</v>
      </c>
      <c r="T25" s="14">
        <f t="shared" si="10"/>
        <v>0</v>
      </c>
      <c r="U25" s="14">
        <f t="shared" si="11"/>
        <v>0</v>
      </c>
      <c r="V25" s="14">
        <f t="shared" si="12"/>
        <v>0</v>
      </c>
      <c r="W25" s="14">
        <f t="shared" si="13"/>
        <v>102</v>
      </c>
      <c r="X25" s="14">
        <f t="shared" si="14"/>
        <v>0</v>
      </c>
      <c r="Y25" s="11"/>
      <c r="Z25" s="11"/>
      <c r="AA25" s="11"/>
      <c r="AB25" s="11"/>
      <c r="AC25" s="11"/>
      <c r="AD25" s="11"/>
      <c r="AE25" s="11"/>
      <c r="AF25" s="11"/>
    </row>
    <row r="26" spans="1:32" ht="15.75" x14ac:dyDescent="0.25">
      <c r="A26" s="21" t="s">
        <v>18</v>
      </c>
      <c r="B26" s="6">
        <v>25</v>
      </c>
      <c r="C26" s="6">
        <v>0</v>
      </c>
      <c r="D26" s="6">
        <v>0</v>
      </c>
      <c r="E26" s="6">
        <v>0</v>
      </c>
      <c r="F26" s="6">
        <v>1</v>
      </c>
      <c r="G26" s="3">
        <v>83</v>
      </c>
      <c r="H26" s="7">
        <v>0</v>
      </c>
      <c r="I26" s="7">
        <v>0</v>
      </c>
      <c r="J26" s="9">
        <f t="shared" si="0"/>
        <v>0</v>
      </c>
      <c r="K26" s="9">
        <f t="shared" si="1"/>
        <v>0</v>
      </c>
      <c r="L26" s="9">
        <f t="shared" si="2"/>
        <v>0</v>
      </c>
      <c r="M26" s="9">
        <f t="shared" si="3"/>
        <v>0</v>
      </c>
      <c r="N26" s="9">
        <f t="shared" si="4"/>
        <v>0</v>
      </c>
      <c r="O26" s="9">
        <f t="shared" si="5"/>
        <v>0</v>
      </c>
      <c r="P26" s="9">
        <f t="shared" si="6"/>
        <v>0</v>
      </c>
      <c r="Q26" s="14">
        <f t="shared" si="7"/>
        <v>0</v>
      </c>
      <c r="R26" s="14">
        <f t="shared" si="8"/>
        <v>0</v>
      </c>
      <c r="S26" s="14">
        <f t="shared" si="9"/>
        <v>0</v>
      </c>
      <c r="T26" s="14">
        <f t="shared" si="10"/>
        <v>0</v>
      </c>
      <c r="U26" s="14">
        <f t="shared" si="11"/>
        <v>0</v>
      </c>
      <c r="V26" s="14">
        <f t="shared" si="12"/>
        <v>0</v>
      </c>
      <c r="W26" s="14">
        <f t="shared" si="13"/>
        <v>0</v>
      </c>
      <c r="X26" s="14">
        <f t="shared" si="14"/>
        <v>0</v>
      </c>
      <c r="Y26" s="11"/>
      <c r="Z26" s="11"/>
      <c r="AA26" s="11"/>
      <c r="AB26" s="11"/>
      <c r="AC26" s="11"/>
      <c r="AD26" s="11"/>
      <c r="AE26" s="11"/>
      <c r="AF26" s="11"/>
    </row>
    <row r="27" spans="1:32" ht="15.75" x14ac:dyDescent="0.25">
      <c r="A27" s="21" t="s">
        <v>20</v>
      </c>
      <c r="B27" s="6">
        <v>26</v>
      </c>
      <c r="C27" s="6">
        <v>0</v>
      </c>
      <c r="D27" s="6">
        <v>0</v>
      </c>
      <c r="E27" s="6">
        <v>0</v>
      </c>
      <c r="F27" s="6">
        <v>1</v>
      </c>
      <c r="G27" s="3">
        <v>94</v>
      </c>
      <c r="H27" s="7">
        <v>1</v>
      </c>
      <c r="I27" s="7">
        <v>0</v>
      </c>
      <c r="J27" s="9">
        <f t="shared" si="0"/>
        <v>1</v>
      </c>
      <c r="K27" s="9">
        <f t="shared" si="1"/>
        <v>0</v>
      </c>
      <c r="L27" s="9">
        <f t="shared" si="2"/>
        <v>1</v>
      </c>
      <c r="M27" s="9">
        <f t="shared" si="3"/>
        <v>0</v>
      </c>
      <c r="N27" s="9">
        <f t="shared" si="4"/>
        <v>0</v>
      </c>
      <c r="O27" s="9">
        <f t="shared" si="5"/>
        <v>0</v>
      </c>
      <c r="P27" s="9">
        <f t="shared" si="6"/>
        <v>1</v>
      </c>
      <c r="Q27" s="14">
        <f t="shared" si="7"/>
        <v>0</v>
      </c>
      <c r="R27" s="14">
        <f t="shared" si="8"/>
        <v>0</v>
      </c>
      <c r="S27" s="14">
        <f t="shared" si="9"/>
        <v>0</v>
      </c>
      <c r="T27" s="14">
        <f t="shared" si="10"/>
        <v>0</v>
      </c>
      <c r="U27" s="14">
        <f t="shared" si="11"/>
        <v>0</v>
      </c>
      <c r="V27" s="14">
        <f t="shared" si="12"/>
        <v>0</v>
      </c>
      <c r="W27" s="14">
        <f t="shared" si="13"/>
        <v>94</v>
      </c>
      <c r="X27" s="14">
        <f t="shared" si="14"/>
        <v>0</v>
      </c>
      <c r="Y27" s="11"/>
      <c r="Z27" s="11"/>
      <c r="AA27" s="11"/>
      <c r="AB27" s="11"/>
      <c r="AC27" s="11"/>
      <c r="AD27" s="11"/>
      <c r="AE27" s="11"/>
      <c r="AF27" s="11"/>
    </row>
    <row r="28" spans="1:32" ht="15.75" x14ac:dyDescent="0.25">
      <c r="A28" s="21" t="s">
        <v>23</v>
      </c>
      <c r="B28" s="6">
        <v>27</v>
      </c>
      <c r="C28" s="6">
        <v>0</v>
      </c>
      <c r="D28" s="6">
        <v>0</v>
      </c>
      <c r="E28" s="6">
        <v>0</v>
      </c>
      <c r="F28" s="6">
        <v>1</v>
      </c>
      <c r="G28" s="3">
        <v>88</v>
      </c>
      <c r="H28" s="7">
        <v>1</v>
      </c>
      <c r="I28" s="7">
        <v>0</v>
      </c>
      <c r="J28" s="9">
        <f t="shared" si="0"/>
        <v>1</v>
      </c>
      <c r="K28" s="9">
        <f t="shared" si="1"/>
        <v>0</v>
      </c>
      <c r="L28" s="9">
        <f t="shared" si="2"/>
        <v>1</v>
      </c>
      <c r="M28" s="9">
        <f t="shared" si="3"/>
        <v>0</v>
      </c>
      <c r="N28" s="9">
        <f t="shared" si="4"/>
        <v>0</v>
      </c>
      <c r="O28" s="9">
        <f t="shared" si="5"/>
        <v>0</v>
      </c>
      <c r="P28" s="9">
        <f t="shared" si="6"/>
        <v>1</v>
      </c>
      <c r="Q28" s="14">
        <f t="shared" si="7"/>
        <v>0</v>
      </c>
      <c r="R28" s="14">
        <f t="shared" si="8"/>
        <v>0</v>
      </c>
      <c r="S28" s="14">
        <f t="shared" si="9"/>
        <v>0</v>
      </c>
      <c r="T28" s="14">
        <f t="shared" si="10"/>
        <v>0</v>
      </c>
      <c r="U28" s="14">
        <f t="shared" si="11"/>
        <v>0</v>
      </c>
      <c r="V28" s="14">
        <f t="shared" si="12"/>
        <v>0</v>
      </c>
      <c r="W28" s="14">
        <f t="shared" si="13"/>
        <v>88</v>
      </c>
      <c r="X28" s="14">
        <f t="shared" si="14"/>
        <v>0</v>
      </c>
      <c r="Y28" s="11"/>
      <c r="Z28" s="11"/>
      <c r="AA28" s="11"/>
      <c r="AB28" s="11"/>
      <c r="AC28" s="11"/>
      <c r="AD28" s="11"/>
      <c r="AE28" s="11"/>
      <c r="AF28" s="11"/>
    </row>
    <row r="29" spans="1:32" ht="15.75" x14ac:dyDescent="0.25">
      <c r="A29" s="21" t="s">
        <v>38</v>
      </c>
      <c r="B29" s="6">
        <v>28</v>
      </c>
      <c r="C29" s="6">
        <v>0</v>
      </c>
      <c r="D29" s="6">
        <v>0</v>
      </c>
      <c r="E29" s="6">
        <v>0</v>
      </c>
      <c r="F29" s="6">
        <v>1</v>
      </c>
      <c r="G29" s="3">
        <v>71</v>
      </c>
      <c r="H29" s="7">
        <v>0</v>
      </c>
      <c r="I29" s="7">
        <v>0</v>
      </c>
      <c r="J29" s="9">
        <f t="shared" si="0"/>
        <v>0</v>
      </c>
      <c r="K29" s="9">
        <f t="shared" si="1"/>
        <v>0</v>
      </c>
      <c r="L29" s="9">
        <f t="shared" si="2"/>
        <v>0</v>
      </c>
      <c r="M29" s="9">
        <f t="shared" si="3"/>
        <v>0</v>
      </c>
      <c r="N29" s="9">
        <f t="shared" si="4"/>
        <v>0</v>
      </c>
      <c r="O29" s="9">
        <f t="shared" si="5"/>
        <v>0</v>
      </c>
      <c r="P29" s="9">
        <f t="shared" si="6"/>
        <v>0</v>
      </c>
      <c r="Q29" s="14">
        <f t="shared" si="7"/>
        <v>0</v>
      </c>
      <c r="R29" s="14">
        <f t="shared" si="8"/>
        <v>0</v>
      </c>
      <c r="S29" s="14">
        <f t="shared" si="9"/>
        <v>0</v>
      </c>
      <c r="T29" s="14">
        <f t="shared" si="10"/>
        <v>0</v>
      </c>
      <c r="U29" s="14">
        <f t="shared" si="11"/>
        <v>0</v>
      </c>
      <c r="V29" s="14">
        <f t="shared" si="12"/>
        <v>0</v>
      </c>
      <c r="W29" s="14">
        <f t="shared" si="13"/>
        <v>0</v>
      </c>
      <c r="X29" s="14">
        <f t="shared" si="14"/>
        <v>0</v>
      </c>
      <c r="Y29" s="11"/>
      <c r="Z29" s="11"/>
      <c r="AA29" s="11"/>
      <c r="AB29" s="11"/>
      <c r="AC29" s="11"/>
      <c r="AD29" s="11"/>
      <c r="AE29" s="11"/>
      <c r="AF29" s="11"/>
    </row>
    <row r="30" spans="1:32" ht="15.75" x14ac:dyDescent="0.25">
      <c r="A30" s="21" t="s">
        <v>6</v>
      </c>
      <c r="B30" s="6">
        <v>29</v>
      </c>
      <c r="C30" s="6">
        <v>0</v>
      </c>
      <c r="D30" s="6">
        <v>0</v>
      </c>
      <c r="E30" s="6">
        <v>0</v>
      </c>
      <c r="F30" s="6">
        <v>1</v>
      </c>
      <c r="G30" s="3">
        <v>108</v>
      </c>
      <c r="H30" s="7">
        <v>1</v>
      </c>
      <c r="I30" s="7">
        <v>0</v>
      </c>
      <c r="J30" s="9">
        <f t="shared" si="0"/>
        <v>1</v>
      </c>
      <c r="K30" s="9">
        <f t="shared" si="1"/>
        <v>0</v>
      </c>
      <c r="L30" s="9">
        <f t="shared" si="2"/>
        <v>1</v>
      </c>
      <c r="M30" s="9">
        <f t="shared" si="3"/>
        <v>0</v>
      </c>
      <c r="N30" s="9">
        <f t="shared" si="4"/>
        <v>0</v>
      </c>
      <c r="O30" s="9">
        <f t="shared" si="5"/>
        <v>0</v>
      </c>
      <c r="P30" s="9">
        <f t="shared" si="6"/>
        <v>1</v>
      </c>
      <c r="Q30" s="14">
        <f t="shared" si="7"/>
        <v>0</v>
      </c>
      <c r="R30" s="14">
        <f t="shared" si="8"/>
        <v>0</v>
      </c>
      <c r="S30" s="14">
        <f t="shared" si="9"/>
        <v>0</v>
      </c>
      <c r="T30" s="14">
        <f t="shared" si="10"/>
        <v>0</v>
      </c>
      <c r="U30" s="14">
        <f t="shared" si="11"/>
        <v>0</v>
      </c>
      <c r="V30" s="14">
        <f t="shared" si="12"/>
        <v>0</v>
      </c>
      <c r="W30" s="14">
        <f t="shared" si="13"/>
        <v>108</v>
      </c>
      <c r="X30" s="14">
        <f t="shared" si="14"/>
        <v>0</v>
      </c>
      <c r="Y30" s="11"/>
      <c r="Z30" s="11"/>
      <c r="AA30" s="11"/>
      <c r="AB30" s="11"/>
      <c r="AC30" s="11"/>
      <c r="AD30" s="11"/>
      <c r="AE30" s="11"/>
      <c r="AF30" s="11"/>
    </row>
    <row r="31" spans="1:32" ht="15.75" x14ac:dyDescent="0.25">
      <c r="A31" s="21" t="s">
        <v>22</v>
      </c>
      <c r="B31" s="6">
        <v>30</v>
      </c>
      <c r="C31" s="6">
        <v>0</v>
      </c>
      <c r="D31" s="6">
        <v>0</v>
      </c>
      <c r="E31" s="6">
        <v>0</v>
      </c>
      <c r="F31" s="6">
        <v>1</v>
      </c>
      <c r="G31" s="3">
        <v>88</v>
      </c>
      <c r="H31" s="7">
        <v>0</v>
      </c>
      <c r="I31" s="7">
        <v>0</v>
      </c>
      <c r="J31" s="9">
        <f t="shared" si="0"/>
        <v>0</v>
      </c>
      <c r="K31" s="9">
        <f t="shared" si="1"/>
        <v>0</v>
      </c>
      <c r="L31" s="9">
        <f t="shared" si="2"/>
        <v>0</v>
      </c>
      <c r="M31" s="9">
        <f t="shared" si="3"/>
        <v>0</v>
      </c>
      <c r="N31" s="9">
        <f t="shared" si="4"/>
        <v>0</v>
      </c>
      <c r="O31" s="9">
        <f t="shared" si="5"/>
        <v>0</v>
      </c>
      <c r="P31" s="9">
        <f t="shared" si="6"/>
        <v>0</v>
      </c>
      <c r="Q31" s="14">
        <f t="shared" si="7"/>
        <v>0</v>
      </c>
      <c r="R31" s="14">
        <f t="shared" si="8"/>
        <v>0</v>
      </c>
      <c r="S31" s="14">
        <f t="shared" si="9"/>
        <v>0</v>
      </c>
      <c r="T31" s="14">
        <f t="shared" si="10"/>
        <v>0</v>
      </c>
      <c r="U31" s="14">
        <f t="shared" si="11"/>
        <v>0</v>
      </c>
      <c r="V31" s="14">
        <f t="shared" si="12"/>
        <v>0</v>
      </c>
      <c r="W31" s="14">
        <f t="shared" si="13"/>
        <v>0</v>
      </c>
      <c r="X31" s="14">
        <f t="shared" si="14"/>
        <v>0</v>
      </c>
      <c r="Y31" s="11"/>
      <c r="Z31" s="11"/>
      <c r="AA31" s="11"/>
      <c r="AB31" s="11"/>
      <c r="AC31" s="11"/>
      <c r="AD31" s="11"/>
      <c r="AE31" s="11"/>
      <c r="AF31" s="11"/>
    </row>
    <row r="32" spans="1:32" ht="15.75" x14ac:dyDescent="0.25">
      <c r="A32" s="2"/>
      <c r="B32" s="2"/>
      <c r="C32" s="2"/>
      <c r="D32" s="2"/>
      <c r="E32" s="2"/>
      <c r="F32" s="1"/>
    </row>
    <row r="33" spans="1:22" ht="15.75" x14ac:dyDescent="0.25">
      <c r="A33" s="2" t="s">
        <v>45</v>
      </c>
      <c r="B33" s="2"/>
      <c r="C33" s="2"/>
      <c r="D33" s="2"/>
      <c r="E33" s="2"/>
      <c r="F33" s="1"/>
      <c r="H33">
        <f>SUM(H2:H31)</f>
        <v>16</v>
      </c>
      <c r="I33">
        <f>SUM(I2:I31)</f>
        <v>0</v>
      </c>
      <c r="K33">
        <f>SUM(K2:K31)</f>
        <v>8</v>
      </c>
      <c r="L33">
        <f>SUM(L2:L31)</f>
        <v>8</v>
      </c>
      <c r="N33" s="6"/>
      <c r="O33" t="s">
        <v>74</v>
      </c>
      <c r="U33" s="17"/>
      <c r="V33" t="s">
        <v>60</v>
      </c>
    </row>
    <row r="34" spans="1:22" ht="15.75" x14ac:dyDescent="0.25">
      <c r="A34" s="2"/>
      <c r="B34" s="2"/>
      <c r="C34" s="2"/>
      <c r="D34" s="2"/>
      <c r="E34" s="2"/>
      <c r="F34" s="1"/>
      <c r="N34" s="9"/>
      <c r="O34" t="s">
        <v>75</v>
      </c>
      <c r="U34" s="15"/>
      <c r="V34" t="s">
        <v>59</v>
      </c>
    </row>
    <row r="35" spans="1:22" ht="15.75" x14ac:dyDescent="0.25">
      <c r="A35" s="2" t="s">
        <v>36</v>
      </c>
      <c r="B35" s="2"/>
      <c r="C35" s="2"/>
      <c r="D35" s="2"/>
      <c r="E35" s="2"/>
      <c r="F35" s="1"/>
      <c r="N35" s="7"/>
      <c r="O35" t="s">
        <v>76</v>
      </c>
      <c r="U35" s="12"/>
      <c r="V35" t="s">
        <v>61</v>
      </c>
    </row>
    <row r="36" spans="1:22" ht="15.75" x14ac:dyDescent="0.25">
      <c r="A36" s="1" t="s">
        <v>35</v>
      </c>
      <c r="B36">
        <f>SUMPRODUCT(G2:G31,H2:H31)</f>
        <v>1573</v>
      </c>
      <c r="N36" s="3"/>
      <c r="O36" t="s">
        <v>77</v>
      </c>
      <c r="U36" s="14"/>
      <c r="V36" t="s">
        <v>62</v>
      </c>
    </row>
    <row r="37" spans="1:22" ht="15.75" x14ac:dyDescent="0.25">
      <c r="A37" s="1" t="s">
        <v>34</v>
      </c>
      <c r="B37">
        <f>SUMPRODUCT(G2:G31,I2:I31)</f>
        <v>0</v>
      </c>
    </row>
    <row r="39" spans="1:22" ht="15.75" x14ac:dyDescent="0.25">
      <c r="A39" s="1" t="s">
        <v>33</v>
      </c>
      <c r="B39">
        <f>B36+B37</f>
        <v>1573</v>
      </c>
    </row>
    <row r="41" spans="1:22" ht="15.75" x14ac:dyDescent="0.25">
      <c r="A41" s="1" t="s">
        <v>47</v>
      </c>
    </row>
    <row r="42" spans="1:22" x14ac:dyDescent="0.25">
      <c r="B42">
        <f>SUM(H2:H31) +SUM(I2:I31)</f>
        <v>16</v>
      </c>
      <c r="C42" t="s">
        <v>48</v>
      </c>
      <c r="D42">
        <v>16</v>
      </c>
    </row>
    <row r="43" spans="1:22" x14ac:dyDescent="0.25">
      <c r="C43" t="s">
        <v>49</v>
      </c>
      <c r="D43">
        <v>1</v>
      </c>
    </row>
    <row r="44" spans="1:22" x14ac:dyDescent="0.25">
      <c r="B44">
        <f>SUM(K2:K31)</f>
        <v>8</v>
      </c>
      <c r="C44" t="s">
        <v>49</v>
      </c>
      <c r="D44">
        <v>8</v>
      </c>
    </row>
    <row r="45" spans="1:22" x14ac:dyDescent="0.25">
      <c r="B45">
        <f>SUM(L2:L31)</f>
        <v>8</v>
      </c>
      <c r="C45" t="s">
        <v>49</v>
      </c>
      <c r="D45">
        <v>8</v>
      </c>
    </row>
    <row r="47" spans="1:22" x14ac:dyDescent="0.25">
      <c r="A47" t="s">
        <v>54</v>
      </c>
      <c r="B47">
        <f>SUM(M2:M31)</f>
        <v>4</v>
      </c>
      <c r="C47" t="s">
        <v>48</v>
      </c>
      <c r="D47">
        <f>SUM(N2:N31)</f>
        <v>4</v>
      </c>
    </row>
    <row r="48" spans="1:22" x14ac:dyDescent="0.25">
      <c r="A48" t="s">
        <v>55</v>
      </c>
      <c r="B48">
        <f>SUM(O2:O31)</f>
        <v>4</v>
      </c>
      <c r="C48" t="s">
        <v>48</v>
      </c>
      <c r="D48">
        <f>SUM(P2:P31)</f>
        <v>4</v>
      </c>
    </row>
    <row r="50" spans="1:4" x14ac:dyDescent="0.25">
      <c r="A50" t="s">
        <v>57</v>
      </c>
      <c r="B50">
        <f>B47</f>
        <v>4</v>
      </c>
      <c r="C50" t="s">
        <v>56</v>
      </c>
      <c r="D50">
        <f>B48</f>
        <v>4</v>
      </c>
    </row>
    <row r="51" spans="1:4" x14ac:dyDescent="0.25">
      <c r="B51" t="s">
        <v>58</v>
      </c>
    </row>
  </sheetData>
  <autoFilter ref="A1:X31">
    <sortState ref="A2:X31">
      <sortCondition ref="B1:B31"/>
    </sortState>
  </autoFilter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51"/>
  <sheetViews>
    <sheetView topLeftCell="A25" workbookViewId="0">
      <selection activeCell="G17" sqref="G17"/>
    </sheetView>
  </sheetViews>
  <sheetFormatPr defaultRowHeight="15" x14ac:dyDescent="0.25"/>
  <cols>
    <col min="1" max="1" width="21" bestFit="1" customWidth="1"/>
    <col min="25" max="25" width="7.28515625" customWidth="1"/>
    <col min="26" max="26" width="6.7109375" customWidth="1"/>
    <col min="27" max="27" width="6.5703125" customWidth="1"/>
  </cols>
  <sheetData>
    <row r="1" spans="1:32" ht="47.25" x14ac:dyDescent="0.25">
      <c r="A1" s="4" t="s">
        <v>25</v>
      </c>
      <c r="B1" s="4" t="s">
        <v>37</v>
      </c>
      <c r="C1" s="4" t="s">
        <v>28</v>
      </c>
      <c r="D1" s="4" t="s">
        <v>29</v>
      </c>
      <c r="E1" s="4" t="s">
        <v>30</v>
      </c>
      <c r="F1" s="4" t="s">
        <v>31</v>
      </c>
      <c r="G1" s="5" t="s">
        <v>32</v>
      </c>
      <c r="H1" s="5" t="s">
        <v>26</v>
      </c>
      <c r="I1" s="5" t="s">
        <v>27</v>
      </c>
      <c r="J1" s="13" t="s">
        <v>46</v>
      </c>
      <c r="K1" s="13" t="s">
        <v>43</v>
      </c>
      <c r="L1" s="13" t="s">
        <v>44</v>
      </c>
      <c r="M1" s="8" t="s">
        <v>51</v>
      </c>
      <c r="N1" s="8" t="s">
        <v>50</v>
      </c>
      <c r="O1" s="8" t="s">
        <v>52</v>
      </c>
      <c r="P1" s="8" t="s">
        <v>53</v>
      </c>
      <c r="Q1" s="8" t="s">
        <v>66</v>
      </c>
      <c r="R1" s="8" t="s">
        <v>67</v>
      </c>
      <c r="S1" s="8" t="s">
        <v>68</v>
      </c>
      <c r="T1" s="8" t="s">
        <v>69</v>
      </c>
      <c r="U1" s="8" t="s">
        <v>70</v>
      </c>
      <c r="V1" s="8" t="s">
        <v>71</v>
      </c>
      <c r="W1" s="8" t="s">
        <v>72</v>
      </c>
      <c r="X1" s="8" t="s">
        <v>73</v>
      </c>
      <c r="Y1" s="8"/>
      <c r="Z1" s="8"/>
      <c r="AA1" s="8"/>
      <c r="AB1" s="8"/>
    </row>
    <row r="2" spans="1:32" ht="15.75" x14ac:dyDescent="0.25">
      <c r="A2" s="18" t="s">
        <v>16</v>
      </c>
      <c r="B2" s="6">
        <v>1</v>
      </c>
      <c r="C2" s="6">
        <v>1</v>
      </c>
      <c r="D2" s="6">
        <v>0</v>
      </c>
      <c r="E2" s="6">
        <v>0</v>
      </c>
      <c r="F2" s="6">
        <v>0</v>
      </c>
      <c r="G2" s="3">
        <v>97</v>
      </c>
      <c r="H2" s="7">
        <v>1</v>
      </c>
      <c r="I2" s="7">
        <v>0</v>
      </c>
      <c r="J2" s="9">
        <f t="shared" ref="J2:J31" si="0">H2+I2</f>
        <v>1</v>
      </c>
      <c r="K2" s="9">
        <f t="shared" ref="K2:K31" si="1">(C2+D2)*(H2+I2)</f>
        <v>1</v>
      </c>
      <c r="L2" s="9">
        <f t="shared" ref="L2:L31" si="2">(E2+F2)*(H2+I2)</f>
        <v>0</v>
      </c>
      <c r="M2" s="9">
        <f t="shared" ref="M2:M31" si="3">C2*H2</f>
        <v>1</v>
      </c>
      <c r="N2" s="9">
        <f t="shared" ref="N2:N31" si="4">D2*H2</f>
        <v>0</v>
      </c>
      <c r="O2" s="9">
        <f t="shared" ref="O2:O31" si="5">E2*H2</f>
        <v>0</v>
      </c>
      <c r="P2" s="9">
        <f t="shared" ref="P2:P31" si="6">F2*H2</f>
        <v>0</v>
      </c>
      <c r="Q2" s="17">
        <f t="shared" ref="Q2:Q31" si="7">H2*G2*C2</f>
        <v>97</v>
      </c>
      <c r="R2" s="17">
        <f t="shared" ref="R2:R31" si="8">I2*G2*C2</f>
        <v>0</v>
      </c>
      <c r="S2" s="17">
        <f t="shared" ref="S2:S31" si="9">H2*G2*D2</f>
        <v>0</v>
      </c>
      <c r="T2" s="17">
        <f t="shared" ref="T2:T31" si="10">I2*G2*D2</f>
        <v>0</v>
      </c>
      <c r="U2" s="17">
        <f t="shared" ref="U2:U31" si="11">H2*G2*E2</f>
        <v>0</v>
      </c>
      <c r="V2" s="17">
        <f t="shared" ref="V2:V31" si="12">I2*G2*E2</f>
        <v>0</v>
      </c>
      <c r="W2" s="17">
        <f t="shared" ref="W2:W31" si="13">H2*G2*F2</f>
        <v>0</v>
      </c>
      <c r="X2" s="17">
        <f t="shared" ref="X2:X31" si="14">I2*G2*F2</f>
        <v>0</v>
      </c>
      <c r="Y2" s="11"/>
      <c r="Z2" s="11"/>
      <c r="AA2" s="11"/>
      <c r="AB2" s="11"/>
      <c r="AC2" s="11"/>
      <c r="AD2" s="11"/>
      <c r="AE2" s="11"/>
      <c r="AF2" s="11"/>
    </row>
    <row r="3" spans="1:32" ht="14.25" customHeight="1" x14ac:dyDescent="0.25">
      <c r="A3" s="18" t="s">
        <v>21</v>
      </c>
      <c r="B3" s="6">
        <v>2</v>
      </c>
      <c r="C3" s="6">
        <v>1</v>
      </c>
      <c r="D3" s="6">
        <v>0</v>
      </c>
      <c r="E3" s="6">
        <v>0</v>
      </c>
      <c r="F3" s="6">
        <v>0</v>
      </c>
      <c r="G3" s="3">
        <v>92</v>
      </c>
      <c r="H3" s="7">
        <v>0</v>
      </c>
      <c r="I3" s="7">
        <v>0</v>
      </c>
      <c r="J3" s="9">
        <f t="shared" si="0"/>
        <v>0</v>
      </c>
      <c r="K3" s="9">
        <f t="shared" si="1"/>
        <v>0</v>
      </c>
      <c r="L3" s="9">
        <f t="shared" si="2"/>
        <v>0</v>
      </c>
      <c r="M3" s="9">
        <f t="shared" si="3"/>
        <v>0</v>
      </c>
      <c r="N3" s="9">
        <f t="shared" si="4"/>
        <v>0</v>
      </c>
      <c r="O3" s="9">
        <f t="shared" si="5"/>
        <v>0</v>
      </c>
      <c r="P3" s="9">
        <f t="shared" si="6"/>
        <v>0</v>
      </c>
      <c r="Q3" s="17">
        <f t="shared" si="7"/>
        <v>0</v>
      </c>
      <c r="R3" s="17">
        <f t="shared" si="8"/>
        <v>0</v>
      </c>
      <c r="S3" s="17">
        <f t="shared" si="9"/>
        <v>0</v>
      </c>
      <c r="T3" s="17">
        <f t="shared" si="10"/>
        <v>0</v>
      </c>
      <c r="U3" s="17">
        <f t="shared" si="11"/>
        <v>0</v>
      </c>
      <c r="V3" s="17">
        <f t="shared" si="12"/>
        <v>0</v>
      </c>
      <c r="W3" s="17">
        <f t="shared" si="13"/>
        <v>0</v>
      </c>
      <c r="X3" s="17">
        <f t="shared" si="14"/>
        <v>0</v>
      </c>
      <c r="Y3" s="11"/>
      <c r="Z3" s="11"/>
      <c r="AA3" s="11"/>
      <c r="AB3" s="11"/>
      <c r="AC3" s="11"/>
      <c r="AD3" s="11"/>
      <c r="AE3" s="11"/>
      <c r="AF3" s="11"/>
    </row>
    <row r="4" spans="1:32" ht="15.75" x14ac:dyDescent="0.25">
      <c r="A4" s="18" t="s">
        <v>39</v>
      </c>
      <c r="B4" s="6">
        <v>3</v>
      </c>
      <c r="C4" s="6">
        <v>1</v>
      </c>
      <c r="D4" s="6">
        <v>0</v>
      </c>
      <c r="E4" s="6">
        <v>0</v>
      </c>
      <c r="F4" s="6">
        <v>0</v>
      </c>
      <c r="G4" s="3">
        <v>106</v>
      </c>
      <c r="H4" s="7">
        <v>1</v>
      </c>
      <c r="I4" s="7">
        <v>0</v>
      </c>
      <c r="J4" s="9">
        <f t="shared" si="0"/>
        <v>1</v>
      </c>
      <c r="K4" s="9">
        <f t="shared" si="1"/>
        <v>1</v>
      </c>
      <c r="L4" s="9">
        <f t="shared" si="2"/>
        <v>0</v>
      </c>
      <c r="M4" s="9">
        <f t="shared" si="3"/>
        <v>1</v>
      </c>
      <c r="N4" s="9">
        <f t="shared" si="4"/>
        <v>0</v>
      </c>
      <c r="O4" s="9">
        <f t="shared" si="5"/>
        <v>0</v>
      </c>
      <c r="P4" s="9">
        <f t="shared" si="6"/>
        <v>0</v>
      </c>
      <c r="Q4" s="17">
        <f t="shared" si="7"/>
        <v>106</v>
      </c>
      <c r="R4" s="17">
        <f t="shared" si="8"/>
        <v>0</v>
      </c>
      <c r="S4" s="17">
        <f t="shared" si="9"/>
        <v>0</v>
      </c>
      <c r="T4" s="17">
        <f t="shared" si="10"/>
        <v>0</v>
      </c>
      <c r="U4" s="17">
        <f t="shared" si="11"/>
        <v>0</v>
      </c>
      <c r="V4" s="17">
        <f t="shared" si="12"/>
        <v>0</v>
      </c>
      <c r="W4" s="17">
        <f t="shared" si="13"/>
        <v>0</v>
      </c>
      <c r="X4" s="17">
        <f t="shared" si="14"/>
        <v>0</v>
      </c>
      <c r="Y4" s="11"/>
      <c r="Z4" s="11"/>
      <c r="AA4" s="11"/>
      <c r="AB4" s="11"/>
      <c r="AC4" s="11"/>
      <c r="AD4" s="11"/>
      <c r="AE4" s="11"/>
      <c r="AF4" s="11"/>
    </row>
    <row r="5" spans="1:32" ht="15.75" x14ac:dyDescent="0.25">
      <c r="A5" s="18" t="s">
        <v>40</v>
      </c>
      <c r="B5" s="6">
        <v>4</v>
      </c>
      <c r="C5" s="6">
        <v>1</v>
      </c>
      <c r="D5" s="6">
        <v>0</v>
      </c>
      <c r="E5" s="6">
        <v>0</v>
      </c>
      <c r="F5" s="6">
        <v>0</v>
      </c>
      <c r="G5" s="3">
        <v>61</v>
      </c>
      <c r="H5" s="7">
        <v>0</v>
      </c>
      <c r="I5" s="7">
        <v>0</v>
      </c>
      <c r="J5" s="9">
        <f t="shared" si="0"/>
        <v>0</v>
      </c>
      <c r="K5" s="9">
        <f t="shared" si="1"/>
        <v>0</v>
      </c>
      <c r="L5" s="9">
        <f t="shared" si="2"/>
        <v>0</v>
      </c>
      <c r="M5" s="9">
        <f t="shared" si="3"/>
        <v>0</v>
      </c>
      <c r="N5" s="9">
        <f t="shared" si="4"/>
        <v>0</v>
      </c>
      <c r="O5" s="9">
        <f t="shared" si="5"/>
        <v>0</v>
      </c>
      <c r="P5" s="9">
        <f t="shared" si="6"/>
        <v>0</v>
      </c>
      <c r="Q5" s="17">
        <f t="shared" si="7"/>
        <v>0</v>
      </c>
      <c r="R5" s="17">
        <f t="shared" si="8"/>
        <v>0</v>
      </c>
      <c r="S5" s="17">
        <f t="shared" si="9"/>
        <v>0</v>
      </c>
      <c r="T5" s="17">
        <f t="shared" si="10"/>
        <v>0</v>
      </c>
      <c r="U5" s="17">
        <f t="shared" si="11"/>
        <v>0</v>
      </c>
      <c r="V5" s="17">
        <f t="shared" si="12"/>
        <v>0</v>
      </c>
      <c r="W5" s="17">
        <f t="shared" si="13"/>
        <v>0</v>
      </c>
      <c r="X5" s="17">
        <f t="shared" si="14"/>
        <v>0</v>
      </c>
      <c r="Y5" s="11"/>
      <c r="Z5" s="11"/>
      <c r="AA5" s="11"/>
      <c r="AB5" s="11"/>
      <c r="AC5" s="11"/>
      <c r="AD5" s="11"/>
      <c r="AE5" s="11"/>
      <c r="AF5" s="11"/>
    </row>
    <row r="6" spans="1:32" ht="15.75" x14ac:dyDescent="0.25">
      <c r="A6" s="18" t="s">
        <v>41</v>
      </c>
      <c r="B6" s="6">
        <v>5</v>
      </c>
      <c r="C6" s="6">
        <v>1</v>
      </c>
      <c r="D6" s="6">
        <v>0</v>
      </c>
      <c r="E6" s="6">
        <v>0</v>
      </c>
      <c r="F6" s="6">
        <v>0</v>
      </c>
      <c r="G6" s="3">
        <v>95</v>
      </c>
      <c r="H6" s="7">
        <v>0</v>
      </c>
      <c r="I6" s="7">
        <v>1</v>
      </c>
      <c r="J6" s="9">
        <f t="shared" si="0"/>
        <v>1</v>
      </c>
      <c r="K6" s="9">
        <f t="shared" si="1"/>
        <v>1</v>
      </c>
      <c r="L6" s="9">
        <f t="shared" si="2"/>
        <v>0</v>
      </c>
      <c r="M6" s="9">
        <f t="shared" si="3"/>
        <v>0</v>
      </c>
      <c r="N6" s="9">
        <f t="shared" si="4"/>
        <v>0</v>
      </c>
      <c r="O6" s="9">
        <f t="shared" si="5"/>
        <v>0</v>
      </c>
      <c r="P6" s="9">
        <f t="shared" si="6"/>
        <v>0</v>
      </c>
      <c r="Q6" s="17">
        <f t="shared" si="7"/>
        <v>0</v>
      </c>
      <c r="R6" s="17">
        <f t="shared" si="8"/>
        <v>95</v>
      </c>
      <c r="S6" s="17">
        <f t="shared" si="9"/>
        <v>0</v>
      </c>
      <c r="T6" s="17">
        <f t="shared" si="10"/>
        <v>0</v>
      </c>
      <c r="U6" s="17">
        <f t="shared" si="11"/>
        <v>0</v>
      </c>
      <c r="V6" s="17">
        <f t="shared" si="12"/>
        <v>0</v>
      </c>
      <c r="W6" s="17">
        <f t="shared" si="13"/>
        <v>0</v>
      </c>
      <c r="X6" s="17">
        <f t="shared" si="14"/>
        <v>0</v>
      </c>
      <c r="Y6" s="11"/>
      <c r="Z6" s="11"/>
      <c r="AA6" s="11"/>
      <c r="AB6" s="11"/>
      <c r="AC6" s="11"/>
      <c r="AD6" s="11"/>
      <c r="AE6" s="11"/>
      <c r="AF6" s="11"/>
    </row>
    <row r="7" spans="1:32" ht="15.75" x14ac:dyDescent="0.25">
      <c r="A7" s="18" t="s">
        <v>9</v>
      </c>
      <c r="B7" s="6">
        <v>6</v>
      </c>
      <c r="C7" s="6">
        <v>1</v>
      </c>
      <c r="D7" s="6">
        <v>0</v>
      </c>
      <c r="E7" s="6">
        <v>0</v>
      </c>
      <c r="F7" s="6">
        <v>0</v>
      </c>
      <c r="G7" s="3">
        <v>99</v>
      </c>
      <c r="H7" s="7">
        <v>0</v>
      </c>
      <c r="I7" s="7">
        <v>1</v>
      </c>
      <c r="J7" s="9">
        <f t="shared" si="0"/>
        <v>1</v>
      </c>
      <c r="K7" s="9">
        <f t="shared" si="1"/>
        <v>1</v>
      </c>
      <c r="L7" s="9">
        <f t="shared" si="2"/>
        <v>0</v>
      </c>
      <c r="M7" s="9">
        <f t="shared" si="3"/>
        <v>0</v>
      </c>
      <c r="N7" s="9">
        <f t="shared" si="4"/>
        <v>0</v>
      </c>
      <c r="O7" s="9">
        <f t="shared" si="5"/>
        <v>0</v>
      </c>
      <c r="P7" s="9">
        <f t="shared" si="6"/>
        <v>0</v>
      </c>
      <c r="Q7" s="17">
        <f t="shared" si="7"/>
        <v>0</v>
      </c>
      <c r="R7" s="17">
        <f t="shared" si="8"/>
        <v>99</v>
      </c>
      <c r="S7" s="17">
        <f t="shared" si="9"/>
        <v>0</v>
      </c>
      <c r="T7" s="17">
        <f t="shared" si="10"/>
        <v>0</v>
      </c>
      <c r="U7" s="17">
        <f t="shared" si="11"/>
        <v>0</v>
      </c>
      <c r="V7" s="17">
        <f t="shared" si="12"/>
        <v>0</v>
      </c>
      <c r="W7" s="17">
        <f t="shared" si="13"/>
        <v>0</v>
      </c>
      <c r="X7" s="17">
        <f t="shared" si="14"/>
        <v>0</v>
      </c>
      <c r="Y7" s="11"/>
      <c r="Z7" s="11"/>
      <c r="AA7" s="11"/>
      <c r="AB7" s="11"/>
      <c r="AC7" s="11"/>
      <c r="AD7" s="11"/>
      <c r="AE7" s="11"/>
      <c r="AF7" s="11"/>
    </row>
    <row r="8" spans="1:32" ht="15.75" x14ac:dyDescent="0.25">
      <c r="A8" s="18" t="s">
        <v>42</v>
      </c>
      <c r="B8" s="6">
        <v>7</v>
      </c>
      <c r="C8" s="6">
        <v>1</v>
      </c>
      <c r="D8" s="6">
        <v>0</v>
      </c>
      <c r="E8" s="6">
        <v>0</v>
      </c>
      <c r="F8" s="6">
        <v>0</v>
      </c>
      <c r="G8" s="3">
        <v>99</v>
      </c>
      <c r="H8" s="7">
        <v>0</v>
      </c>
      <c r="I8" s="7">
        <v>1</v>
      </c>
      <c r="J8" s="9">
        <f t="shared" si="0"/>
        <v>1</v>
      </c>
      <c r="K8" s="9">
        <f t="shared" si="1"/>
        <v>1</v>
      </c>
      <c r="L8" s="9">
        <f t="shared" si="2"/>
        <v>0</v>
      </c>
      <c r="M8" s="9">
        <f t="shared" si="3"/>
        <v>0</v>
      </c>
      <c r="N8" s="9">
        <f t="shared" si="4"/>
        <v>0</v>
      </c>
      <c r="O8" s="9">
        <f t="shared" si="5"/>
        <v>0</v>
      </c>
      <c r="P8" s="9">
        <f t="shared" si="6"/>
        <v>0</v>
      </c>
      <c r="Q8" s="17">
        <f t="shared" si="7"/>
        <v>0</v>
      </c>
      <c r="R8" s="17">
        <f t="shared" si="8"/>
        <v>99</v>
      </c>
      <c r="S8" s="17">
        <f t="shared" si="9"/>
        <v>0</v>
      </c>
      <c r="T8" s="17">
        <f t="shared" si="10"/>
        <v>0</v>
      </c>
      <c r="U8" s="17">
        <f t="shared" si="11"/>
        <v>0</v>
      </c>
      <c r="V8" s="17">
        <f t="shared" si="12"/>
        <v>0</v>
      </c>
      <c r="W8" s="17">
        <f t="shared" si="13"/>
        <v>0</v>
      </c>
      <c r="X8" s="17">
        <f t="shared" si="14"/>
        <v>0</v>
      </c>
      <c r="Y8" s="11"/>
      <c r="Z8" s="11"/>
      <c r="AA8" s="11"/>
      <c r="AB8" s="11"/>
      <c r="AC8" s="11"/>
      <c r="AD8" s="11"/>
      <c r="AE8" s="11"/>
      <c r="AF8" s="11"/>
    </row>
    <row r="9" spans="1:32" ht="15.75" x14ac:dyDescent="0.25">
      <c r="A9" s="18" t="s">
        <v>0</v>
      </c>
      <c r="B9" s="6">
        <v>8</v>
      </c>
      <c r="C9" s="6">
        <v>1</v>
      </c>
      <c r="D9" s="6">
        <v>0</v>
      </c>
      <c r="E9" s="6">
        <v>0</v>
      </c>
      <c r="F9" s="6">
        <v>0</v>
      </c>
      <c r="G9" s="3">
        <v>108</v>
      </c>
      <c r="H9" s="7">
        <v>0</v>
      </c>
      <c r="I9" s="7">
        <v>1</v>
      </c>
      <c r="J9" s="9">
        <f t="shared" si="0"/>
        <v>1</v>
      </c>
      <c r="K9" s="9">
        <f t="shared" si="1"/>
        <v>1</v>
      </c>
      <c r="L9" s="9">
        <f t="shared" si="2"/>
        <v>0</v>
      </c>
      <c r="M9" s="9">
        <f t="shared" si="3"/>
        <v>0</v>
      </c>
      <c r="N9" s="9">
        <f t="shared" si="4"/>
        <v>0</v>
      </c>
      <c r="O9" s="9">
        <f t="shared" si="5"/>
        <v>0</v>
      </c>
      <c r="P9" s="9">
        <f t="shared" si="6"/>
        <v>0</v>
      </c>
      <c r="Q9" s="17">
        <f t="shared" si="7"/>
        <v>0</v>
      </c>
      <c r="R9" s="17">
        <f t="shared" si="8"/>
        <v>108</v>
      </c>
      <c r="S9" s="17">
        <f t="shared" si="9"/>
        <v>0</v>
      </c>
      <c r="T9" s="17">
        <f t="shared" si="10"/>
        <v>0</v>
      </c>
      <c r="U9" s="17">
        <f t="shared" si="11"/>
        <v>0</v>
      </c>
      <c r="V9" s="17">
        <f t="shared" si="12"/>
        <v>0</v>
      </c>
      <c r="W9" s="17">
        <f t="shared" si="13"/>
        <v>0</v>
      </c>
      <c r="X9" s="17">
        <f t="shared" si="14"/>
        <v>0</v>
      </c>
      <c r="Y9" s="11"/>
      <c r="Z9" s="11"/>
      <c r="AA9" s="11"/>
      <c r="AB9" s="11"/>
      <c r="AC9" s="11"/>
      <c r="AD9" s="11"/>
      <c r="AE9" s="11"/>
      <c r="AF9" s="11"/>
    </row>
    <row r="10" spans="1:32" ht="15" customHeight="1" x14ac:dyDescent="0.25">
      <c r="A10" s="19" t="s">
        <v>8</v>
      </c>
      <c r="B10" s="6">
        <v>9</v>
      </c>
      <c r="C10" s="6">
        <v>0</v>
      </c>
      <c r="D10" s="6">
        <v>1</v>
      </c>
      <c r="E10" s="6">
        <v>0</v>
      </c>
      <c r="F10" s="6">
        <v>0</v>
      </c>
      <c r="G10" s="3">
        <v>116</v>
      </c>
      <c r="H10" s="7">
        <v>1</v>
      </c>
      <c r="I10" s="7">
        <v>0</v>
      </c>
      <c r="J10" s="9">
        <f t="shared" si="0"/>
        <v>1</v>
      </c>
      <c r="K10" s="9">
        <f t="shared" si="1"/>
        <v>1</v>
      </c>
      <c r="L10" s="9">
        <f t="shared" si="2"/>
        <v>0</v>
      </c>
      <c r="M10" s="9">
        <f t="shared" si="3"/>
        <v>0</v>
      </c>
      <c r="N10" s="9">
        <f t="shared" si="4"/>
        <v>1</v>
      </c>
      <c r="O10" s="9">
        <f t="shared" si="5"/>
        <v>0</v>
      </c>
      <c r="P10" s="9">
        <f t="shared" si="6"/>
        <v>0</v>
      </c>
      <c r="Q10" s="15">
        <f t="shared" si="7"/>
        <v>0</v>
      </c>
      <c r="R10" s="15">
        <f t="shared" si="8"/>
        <v>0</v>
      </c>
      <c r="S10" s="15">
        <f t="shared" si="9"/>
        <v>116</v>
      </c>
      <c r="T10" s="15">
        <f t="shared" si="10"/>
        <v>0</v>
      </c>
      <c r="U10" s="15">
        <f t="shared" si="11"/>
        <v>0</v>
      </c>
      <c r="V10" s="15">
        <f t="shared" si="12"/>
        <v>0</v>
      </c>
      <c r="W10" s="15">
        <f t="shared" si="13"/>
        <v>0</v>
      </c>
      <c r="X10" s="15">
        <f t="shared" si="14"/>
        <v>0</v>
      </c>
      <c r="Y10" s="11"/>
      <c r="Z10" s="11"/>
      <c r="AA10" s="11"/>
      <c r="AB10" s="11"/>
      <c r="AC10" s="11"/>
      <c r="AD10" s="11"/>
      <c r="AE10" s="11"/>
      <c r="AF10" s="11"/>
    </row>
    <row r="11" spans="1:32" ht="15.75" x14ac:dyDescent="0.25">
      <c r="A11" s="19" t="s">
        <v>17</v>
      </c>
      <c r="B11" s="6">
        <v>10</v>
      </c>
      <c r="C11" s="6">
        <v>0</v>
      </c>
      <c r="D11" s="6">
        <v>1</v>
      </c>
      <c r="E11" s="6">
        <v>0</v>
      </c>
      <c r="F11" s="6">
        <v>0</v>
      </c>
      <c r="G11" s="3">
        <v>91</v>
      </c>
      <c r="H11" s="7">
        <v>0</v>
      </c>
      <c r="I11" s="7">
        <v>0</v>
      </c>
      <c r="J11" s="9">
        <f t="shared" si="0"/>
        <v>0</v>
      </c>
      <c r="K11" s="9">
        <f t="shared" si="1"/>
        <v>0</v>
      </c>
      <c r="L11" s="9">
        <f t="shared" si="2"/>
        <v>0</v>
      </c>
      <c r="M11" s="9">
        <f t="shared" si="3"/>
        <v>0</v>
      </c>
      <c r="N11" s="9">
        <f t="shared" si="4"/>
        <v>0</v>
      </c>
      <c r="O11" s="9">
        <f t="shared" si="5"/>
        <v>0</v>
      </c>
      <c r="P11" s="9">
        <f t="shared" si="6"/>
        <v>0</v>
      </c>
      <c r="Q11" s="15">
        <f t="shared" si="7"/>
        <v>0</v>
      </c>
      <c r="R11" s="15">
        <f t="shared" si="8"/>
        <v>0</v>
      </c>
      <c r="S11" s="15">
        <f t="shared" si="9"/>
        <v>0</v>
      </c>
      <c r="T11" s="15">
        <f t="shared" si="10"/>
        <v>0</v>
      </c>
      <c r="U11" s="15">
        <f t="shared" si="11"/>
        <v>0</v>
      </c>
      <c r="V11" s="15">
        <f t="shared" si="12"/>
        <v>0</v>
      </c>
      <c r="W11" s="15">
        <f t="shared" si="13"/>
        <v>0</v>
      </c>
      <c r="X11" s="15">
        <f t="shared" si="14"/>
        <v>0</v>
      </c>
      <c r="Y11" s="11"/>
      <c r="Z11" s="11"/>
      <c r="AA11" s="11"/>
      <c r="AB11" s="11"/>
      <c r="AC11" s="11"/>
      <c r="AD11" s="11"/>
      <c r="AE11" s="11"/>
      <c r="AF11" s="11"/>
    </row>
    <row r="12" spans="1:32" ht="15.75" x14ac:dyDescent="0.25">
      <c r="A12" s="19" t="s">
        <v>11</v>
      </c>
      <c r="B12" s="6">
        <v>11</v>
      </c>
      <c r="C12" s="6">
        <v>0</v>
      </c>
      <c r="D12" s="6">
        <v>1</v>
      </c>
      <c r="E12" s="6">
        <v>0</v>
      </c>
      <c r="F12" s="6">
        <v>0</v>
      </c>
      <c r="G12" s="3">
        <v>112</v>
      </c>
      <c r="H12" s="7">
        <v>1</v>
      </c>
      <c r="I12" s="7">
        <v>0</v>
      </c>
      <c r="J12" s="9">
        <f t="shared" si="0"/>
        <v>1</v>
      </c>
      <c r="K12" s="9">
        <f t="shared" si="1"/>
        <v>1</v>
      </c>
      <c r="L12" s="9">
        <f t="shared" si="2"/>
        <v>0</v>
      </c>
      <c r="M12" s="9">
        <f t="shared" si="3"/>
        <v>0</v>
      </c>
      <c r="N12" s="9">
        <f t="shared" si="4"/>
        <v>1</v>
      </c>
      <c r="O12" s="9">
        <f t="shared" si="5"/>
        <v>0</v>
      </c>
      <c r="P12" s="9">
        <f t="shared" si="6"/>
        <v>0</v>
      </c>
      <c r="Q12" s="15">
        <f t="shared" si="7"/>
        <v>0</v>
      </c>
      <c r="R12" s="15">
        <f t="shared" si="8"/>
        <v>0</v>
      </c>
      <c r="S12" s="15">
        <f t="shared" si="9"/>
        <v>112</v>
      </c>
      <c r="T12" s="15">
        <f t="shared" si="10"/>
        <v>0</v>
      </c>
      <c r="U12" s="15">
        <f t="shared" si="11"/>
        <v>0</v>
      </c>
      <c r="V12" s="15">
        <f t="shared" si="12"/>
        <v>0</v>
      </c>
      <c r="W12" s="15">
        <f t="shared" si="13"/>
        <v>0</v>
      </c>
      <c r="X12" s="15">
        <f t="shared" si="14"/>
        <v>0</v>
      </c>
      <c r="Y12" s="11"/>
      <c r="Z12" s="11"/>
      <c r="AA12" s="11"/>
      <c r="AB12" s="11"/>
      <c r="AC12" s="11"/>
      <c r="AD12" s="11"/>
      <c r="AE12" s="11"/>
      <c r="AF12" s="11"/>
    </row>
    <row r="13" spans="1:32" ht="15.75" x14ac:dyDescent="0.25">
      <c r="A13" s="19" t="s">
        <v>3</v>
      </c>
      <c r="B13" s="6">
        <v>12</v>
      </c>
      <c r="C13" s="6">
        <v>0</v>
      </c>
      <c r="D13" s="6">
        <v>1</v>
      </c>
      <c r="E13" s="6">
        <v>0</v>
      </c>
      <c r="F13" s="6">
        <v>0</v>
      </c>
      <c r="G13" s="3">
        <v>93</v>
      </c>
      <c r="H13" s="7">
        <v>0</v>
      </c>
      <c r="I13" s="7">
        <v>0</v>
      </c>
      <c r="J13" s="9">
        <f t="shared" si="0"/>
        <v>0</v>
      </c>
      <c r="K13" s="9">
        <f t="shared" si="1"/>
        <v>0</v>
      </c>
      <c r="L13" s="9">
        <f t="shared" si="2"/>
        <v>0</v>
      </c>
      <c r="M13" s="9">
        <f t="shared" si="3"/>
        <v>0</v>
      </c>
      <c r="N13" s="9">
        <f t="shared" si="4"/>
        <v>0</v>
      </c>
      <c r="O13" s="9">
        <f t="shared" si="5"/>
        <v>0</v>
      </c>
      <c r="P13" s="9">
        <f t="shared" si="6"/>
        <v>0</v>
      </c>
      <c r="Q13" s="15">
        <f t="shared" si="7"/>
        <v>0</v>
      </c>
      <c r="R13" s="15">
        <f t="shared" si="8"/>
        <v>0</v>
      </c>
      <c r="S13" s="15">
        <f t="shared" si="9"/>
        <v>0</v>
      </c>
      <c r="T13" s="15">
        <f t="shared" si="10"/>
        <v>0</v>
      </c>
      <c r="U13" s="15">
        <f t="shared" si="11"/>
        <v>0</v>
      </c>
      <c r="V13" s="15">
        <f t="shared" si="12"/>
        <v>0</v>
      </c>
      <c r="W13" s="15">
        <f t="shared" si="13"/>
        <v>0</v>
      </c>
      <c r="X13" s="15">
        <f t="shared" si="14"/>
        <v>0</v>
      </c>
      <c r="Y13" s="11"/>
      <c r="Z13" s="11"/>
      <c r="AA13" s="11"/>
      <c r="AB13" s="11"/>
      <c r="AC13" s="11"/>
      <c r="AD13" s="11"/>
      <c r="AE13" s="11"/>
      <c r="AF13" s="11"/>
    </row>
    <row r="14" spans="1:32" ht="15.75" x14ac:dyDescent="0.25">
      <c r="A14" s="19" t="s">
        <v>15</v>
      </c>
      <c r="B14" s="6">
        <v>13</v>
      </c>
      <c r="C14" s="6">
        <v>0</v>
      </c>
      <c r="D14" s="6">
        <v>1</v>
      </c>
      <c r="E14" s="6">
        <v>0</v>
      </c>
      <c r="F14" s="6">
        <v>0</v>
      </c>
      <c r="G14" s="3">
        <v>93</v>
      </c>
      <c r="H14" s="7">
        <v>0</v>
      </c>
      <c r="I14" s="7">
        <v>0</v>
      </c>
      <c r="J14" s="9">
        <f t="shared" si="0"/>
        <v>0</v>
      </c>
      <c r="K14" s="9">
        <f t="shared" si="1"/>
        <v>0</v>
      </c>
      <c r="L14" s="9">
        <f t="shared" si="2"/>
        <v>0</v>
      </c>
      <c r="M14" s="9">
        <f t="shared" si="3"/>
        <v>0</v>
      </c>
      <c r="N14" s="9">
        <f t="shared" si="4"/>
        <v>0</v>
      </c>
      <c r="O14" s="9">
        <f t="shared" si="5"/>
        <v>0</v>
      </c>
      <c r="P14" s="9">
        <f t="shared" si="6"/>
        <v>0</v>
      </c>
      <c r="Q14" s="15">
        <f t="shared" si="7"/>
        <v>0</v>
      </c>
      <c r="R14" s="15">
        <f t="shared" si="8"/>
        <v>0</v>
      </c>
      <c r="S14" s="15">
        <f t="shared" si="9"/>
        <v>0</v>
      </c>
      <c r="T14" s="15">
        <f t="shared" si="10"/>
        <v>0</v>
      </c>
      <c r="U14" s="15">
        <f t="shared" si="11"/>
        <v>0</v>
      </c>
      <c r="V14" s="15">
        <f t="shared" si="12"/>
        <v>0</v>
      </c>
      <c r="W14" s="15">
        <f t="shared" si="13"/>
        <v>0</v>
      </c>
      <c r="X14" s="15">
        <f t="shared" si="14"/>
        <v>0</v>
      </c>
      <c r="Y14" s="11"/>
      <c r="Z14" s="11"/>
      <c r="AA14" s="11"/>
      <c r="AB14" s="11"/>
      <c r="AC14" s="11"/>
      <c r="AD14" s="11"/>
      <c r="AE14" s="11"/>
      <c r="AF14" s="11"/>
    </row>
    <row r="15" spans="1:32" ht="15.75" x14ac:dyDescent="0.25">
      <c r="A15" s="19" t="s">
        <v>14</v>
      </c>
      <c r="B15" s="6">
        <v>14</v>
      </c>
      <c r="C15" s="6">
        <v>0</v>
      </c>
      <c r="D15" s="6">
        <v>1</v>
      </c>
      <c r="E15" s="6">
        <v>0</v>
      </c>
      <c r="F15" s="6">
        <v>0</v>
      </c>
      <c r="G15" s="3">
        <v>83</v>
      </c>
      <c r="H15" s="7">
        <v>0</v>
      </c>
      <c r="I15" s="7">
        <v>0</v>
      </c>
      <c r="J15" s="9">
        <f t="shared" si="0"/>
        <v>0</v>
      </c>
      <c r="K15" s="9">
        <f t="shared" si="1"/>
        <v>0</v>
      </c>
      <c r="L15" s="9">
        <f t="shared" si="2"/>
        <v>0</v>
      </c>
      <c r="M15" s="9">
        <f t="shared" si="3"/>
        <v>0</v>
      </c>
      <c r="N15" s="9">
        <f t="shared" si="4"/>
        <v>0</v>
      </c>
      <c r="O15" s="9">
        <f t="shared" si="5"/>
        <v>0</v>
      </c>
      <c r="P15" s="9">
        <f t="shared" si="6"/>
        <v>0</v>
      </c>
      <c r="Q15" s="15">
        <f t="shared" si="7"/>
        <v>0</v>
      </c>
      <c r="R15" s="15">
        <f t="shared" si="8"/>
        <v>0</v>
      </c>
      <c r="S15" s="15">
        <f t="shared" si="9"/>
        <v>0</v>
      </c>
      <c r="T15" s="15">
        <f t="shared" si="10"/>
        <v>0</v>
      </c>
      <c r="U15" s="15">
        <f t="shared" si="11"/>
        <v>0</v>
      </c>
      <c r="V15" s="15">
        <f t="shared" si="12"/>
        <v>0</v>
      </c>
      <c r="W15" s="15">
        <f t="shared" si="13"/>
        <v>0</v>
      </c>
      <c r="X15" s="15">
        <f t="shared" si="14"/>
        <v>0</v>
      </c>
      <c r="Y15" s="11"/>
      <c r="Z15" s="11"/>
      <c r="AA15" s="11"/>
      <c r="AB15" s="11"/>
      <c r="AC15" s="11"/>
      <c r="AD15" s="11"/>
      <c r="AE15" s="11"/>
      <c r="AF15" s="11"/>
    </row>
    <row r="16" spans="1:32" ht="15.75" x14ac:dyDescent="0.25">
      <c r="A16" s="19" t="s">
        <v>7</v>
      </c>
      <c r="B16" s="6">
        <v>15</v>
      </c>
      <c r="C16" s="6">
        <v>0</v>
      </c>
      <c r="D16" s="6">
        <v>1</v>
      </c>
      <c r="E16" s="6">
        <v>0</v>
      </c>
      <c r="F16" s="6">
        <v>0</v>
      </c>
      <c r="G16" s="3">
        <v>66</v>
      </c>
      <c r="H16" s="7">
        <v>0</v>
      </c>
      <c r="I16" s="7">
        <v>0</v>
      </c>
      <c r="J16" s="9">
        <f t="shared" si="0"/>
        <v>0</v>
      </c>
      <c r="K16" s="9">
        <f t="shared" si="1"/>
        <v>0</v>
      </c>
      <c r="L16" s="9">
        <f t="shared" si="2"/>
        <v>0</v>
      </c>
      <c r="M16" s="9">
        <f t="shared" si="3"/>
        <v>0</v>
      </c>
      <c r="N16" s="9">
        <f t="shared" si="4"/>
        <v>0</v>
      </c>
      <c r="O16" s="9">
        <f t="shared" si="5"/>
        <v>0</v>
      </c>
      <c r="P16" s="9">
        <f t="shared" si="6"/>
        <v>0</v>
      </c>
      <c r="Q16" s="15">
        <f t="shared" si="7"/>
        <v>0</v>
      </c>
      <c r="R16" s="15">
        <f t="shared" si="8"/>
        <v>0</v>
      </c>
      <c r="S16" s="15">
        <f t="shared" si="9"/>
        <v>0</v>
      </c>
      <c r="T16" s="15">
        <f t="shared" si="10"/>
        <v>0</v>
      </c>
      <c r="U16" s="15">
        <f t="shared" si="11"/>
        <v>0</v>
      </c>
      <c r="V16" s="15">
        <f t="shared" si="12"/>
        <v>0</v>
      </c>
      <c r="W16" s="15">
        <f t="shared" si="13"/>
        <v>0</v>
      </c>
      <c r="X16" s="15">
        <f t="shared" si="14"/>
        <v>0</v>
      </c>
      <c r="Y16" s="11"/>
      <c r="Z16" s="11"/>
      <c r="AA16" s="11"/>
      <c r="AB16" s="11"/>
      <c r="AC16" s="11"/>
      <c r="AD16" s="11"/>
      <c r="AE16" s="11"/>
      <c r="AF16" s="11"/>
    </row>
    <row r="17" spans="1:32" ht="15.75" x14ac:dyDescent="0.25">
      <c r="A17" s="19" t="s">
        <v>24</v>
      </c>
      <c r="B17" s="6">
        <v>16</v>
      </c>
      <c r="C17" s="6">
        <v>0</v>
      </c>
      <c r="D17" s="6">
        <v>1</v>
      </c>
      <c r="E17" s="6">
        <v>0</v>
      </c>
      <c r="F17" s="6">
        <v>0</v>
      </c>
      <c r="G17" s="3">
        <v>81</v>
      </c>
      <c r="H17" s="7">
        <v>0</v>
      </c>
      <c r="I17" s="7">
        <v>0</v>
      </c>
      <c r="J17" s="9">
        <f t="shared" si="0"/>
        <v>0</v>
      </c>
      <c r="K17" s="9">
        <f t="shared" si="1"/>
        <v>0</v>
      </c>
      <c r="L17" s="9">
        <f t="shared" si="2"/>
        <v>0</v>
      </c>
      <c r="M17" s="9">
        <f t="shared" si="3"/>
        <v>0</v>
      </c>
      <c r="N17" s="9">
        <f t="shared" si="4"/>
        <v>0</v>
      </c>
      <c r="O17" s="9">
        <f t="shared" si="5"/>
        <v>0</v>
      </c>
      <c r="P17" s="9">
        <f t="shared" si="6"/>
        <v>0</v>
      </c>
      <c r="Q17" s="15">
        <f t="shared" si="7"/>
        <v>0</v>
      </c>
      <c r="R17" s="15">
        <f t="shared" si="8"/>
        <v>0</v>
      </c>
      <c r="S17" s="15">
        <f t="shared" si="9"/>
        <v>0</v>
      </c>
      <c r="T17" s="15">
        <f t="shared" si="10"/>
        <v>0</v>
      </c>
      <c r="U17" s="15">
        <f t="shared" si="11"/>
        <v>0</v>
      </c>
      <c r="V17" s="15">
        <f t="shared" si="12"/>
        <v>0</v>
      </c>
      <c r="W17" s="15">
        <f t="shared" si="13"/>
        <v>0</v>
      </c>
      <c r="X17" s="15">
        <f t="shared" si="14"/>
        <v>0</v>
      </c>
      <c r="Y17" s="11"/>
      <c r="Z17" s="11"/>
      <c r="AA17" s="11"/>
      <c r="AB17" s="11"/>
      <c r="AC17" s="11"/>
      <c r="AD17" s="11"/>
      <c r="AE17" s="11"/>
      <c r="AF17" s="11"/>
    </row>
    <row r="18" spans="1:32" ht="15.75" x14ac:dyDescent="0.25">
      <c r="A18" s="20" t="s">
        <v>4</v>
      </c>
      <c r="B18" s="6">
        <v>17</v>
      </c>
      <c r="C18" s="6">
        <v>0</v>
      </c>
      <c r="D18" s="6">
        <v>0</v>
      </c>
      <c r="E18" s="6">
        <v>1</v>
      </c>
      <c r="F18" s="6">
        <v>0</v>
      </c>
      <c r="G18" s="3">
        <v>104</v>
      </c>
      <c r="H18" s="7">
        <v>0</v>
      </c>
      <c r="I18" s="7">
        <v>1</v>
      </c>
      <c r="J18" s="9">
        <f t="shared" si="0"/>
        <v>1</v>
      </c>
      <c r="K18" s="9">
        <f t="shared" si="1"/>
        <v>0</v>
      </c>
      <c r="L18" s="9">
        <f t="shared" si="2"/>
        <v>1</v>
      </c>
      <c r="M18" s="9">
        <f t="shared" si="3"/>
        <v>0</v>
      </c>
      <c r="N18" s="9">
        <f t="shared" si="4"/>
        <v>0</v>
      </c>
      <c r="O18" s="9">
        <f t="shared" si="5"/>
        <v>0</v>
      </c>
      <c r="P18" s="9">
        <f t="shared" si="6"/>
        <v>0</v>
      </c>
      <c r="Q18" s="16">
        <f t="shared" si="7"/>
        <v>0</v>
      </c>
      <c r="R18" s="16">
        <f t="shared" si="8"/>
        <v>0</v>
      </c>
      <c r="S18" s="16">
        <f t="shared" si="9"/>
        <v>0</v>
      </c>
      <c r="T18" s="16">
        <f t="shared" si="10"/>
        <v>0</v>
      </c>
      <c r="U18" s="16">
        <f t="shared" si="11"/>
        <v>0</v>
      </c>
      <c r="V18" s="16">
        <f t="shared" si="12"/>
        <v>104</v>
      </c>
      <c r="W18" s="16">
        <f t="shared" si="13"/>
        <v>0</v>
      </c>
      <c r="X18" s="16">
        <f t="shared" si="14"/>
        <v>0</v>
      </c>
      <c r="Y18" s="11"/>
      <c r="Z18" s="11"/>
      <c r="AA18" s="11"/>
      <c r="AB18" s="11"/>
      <c r="AC18" s="11"/>
      <c r="AD18" s="11"/>
      <c r="AE18" s="11"/>
      <c r="AF18" s="11"/>
    </row>
    <row r="19" spans="1:32" ht="15.75" x14ac:dyDescent="0.25">
      <c r="A19" s="20" t="s">
        <v>12</v>
      </c>
      <c r="B19" s="6">
        <v>18</v>
      </c>
      <c r="C19" s="6">
        <v>0</v>
      </c>
      <c r="D19" s="6">
        <v>0</v>
      </c>
      <c r="E19" s="6">
        <v>1</v>
      </c>
      <c r="F19" s="6">
        <v>0</v>
      </c>
      <c r="G19" s="3">
        <v>69</v>
      </c>
      <c r="H19" s="7">
        <v>0</v>
      </c>
      <c r="I19" s="7">
        <v>0</v>
      </c>
      <c r="J19" s="9">
        <f t="shared" si="0"/>
        <v>0</v>
      </c>
      <c r="K19" s="9">
        <f t="shared" si="1"/>
        <v>0</v>
      </c>
      <c r="L19" s="9">
        <f t="shared" si="2"/>
        <v>0</v>
      </c>
      <c r="M19" s="9">
        <f t="shared" si="3"/>
        <v>0</v>
      </c>
      <c r="N19" s="9">
        <f t="shared" si="4"/>
        <v>0</v>
      </c>
      <c r="O19" s="9">
        <f t="shared" si="5"/>
        <v>0</v>
      </c>
      <c r="P19" s="9">
        <f t="shared" si="6"/>
        <v>0</v>
      </c>
      <c r="Q19" s="16">
        <f t="shared" si="7"/>
        <v>0</v>
      </c>
      <c r="R19" s="16">
        <f t="shared" si="8"/>
        <v>0</v>
      </c>
      <c r="S19" s="16">
        <f t="shared" si="9"/>
        <v>0</v>
      </c>
      <c r="T19" s="16">
        <f t="shared" si="10"/>
        <v>0</v>
      </c>
      <c r="U19" s="16">
        <f t="shared" si="11"/>
        <v>0</v>
      </c>
      <c r="V19" s="16">
        <f t="shared" si="12"/>
        <v>0</v>
      </c>
      <c r="W19" s="16">
        <f t="shared" si="13"/>
        <v>0</v>
      </c>
      <c r="X19" s="16">
        <f t="shared" si="14"/>
        <v>0</v>
      </c>
      <c r="Y19" s="11"/>
      <c r="Z19" s="11"/>
      <c r="AA19" s="11"/>
      <c r="AB19" s="11"/>
      <c r="AC19" s="11"/>
      <c r="AD19" s="11"/>
      <c r="AE19" s="11"/>
      <c r="AF19" s="11"/>
    </row>
    <row r="20" spans="1:32" ht="15.75" x14ac:dyDescent="0.25">
      <c r="A20" s="20" t="s">
        <v>1</v>
      </c>
      <c r="B20" s="6">
        <v>19</v>
      </c>
      <c r="C20" s="6">
        <v>0</v>
      </c>
      <c r="D20" s="6">
        <v>0</v>
      </c>
      <c r="E20" s="6">
        <v>1</v>
      </c>
      <c r="F20" s="6">
        <v>0</v>
      </c>
      <c r="G20" s="3">
        <v>83</v>
      </c>
      <c r="H20" s="7">
        <v>0</v>
      </c>
      <c r="I20" s="7">
        <v>0</v>
      </c>
      <c r="J20" s="9">
        <f t="shared" si="0"/>
        <v>0</v>
      </c>
      <c r="K20" s="9">
        <f t="shared" si="1"/>
        <v>0</v>
      </c>
      <c r="L20" s="9">
        <f t="shared" si="2"/>
        <v>0</v>
      </c>
      <c r="M20" s="9">
        <f t="shared" si="3"/>
        <v>0</v>
      </c>
      <c r="N20" s="9">
        <f t="shared" si="4"/>
        <v>0</v>
      </c>
      <c r="O20" s="9">
        <f t="shared" si="5"/>
        <v>0</v>
      </c>
      <c r="P20" s="9">
        <f t="shared" si="6"/>
        <v>0</v>
      </c>
      <c r="Q20" s="16">
        <f t="shared" si="7"/>
        <v>0</v>
      </c>
      <c r="R20" s="16">
        <f t="shared" si="8"/>
        <v>0</v>
      </c>
      <c r="S20" s="16">
        <f t="shared" si="9"/>
        <v>0</v>
      </c>
      <c r="T20" s="16">
        <f t="shared" si="10"/>
        <v>0</v>
      </c>
      <c r="U20" s="16">
        <f t="shared" si="11"/>
        <v>0</v>
      </c>
      <c r="V20" s="16">
        <f t="shared" si="12"/>
        <v>0</v>
      </c>
      <c r="W20" s="16">
        <f t="shared" si="13"/>
        <v>0</v>
      </c>
      <c r="X20" s="16">
        <f t="shared" si="14"/>
        <v>0</v>
      </c>
      <c r="Y20" s="11"/>
      <c r="Z20" s="11"/>
      <c r="AA20" s="11"/>
      <c r="AB20" s="11"/>
      <c r="AC20" s="11"/>
      <c r="AD20" s="11"/>
      <c r="AE20" s="11"/>
      <c r="AF20" s="11"/>
    </row>
    <row r="21" spans="1:32" ht="15.75" x14ac:dyDescent="0.25">
      <c r="A21" s="20" t="s">
        <v>13</v>
      </c>
      <c r="B21" s="6">
        <v>20</v>
      </c>
      <c r="C21" s="6">
        <v>0</v>
      </c>
      <c r="D21" s="6">
        <v>0</v>
      </c>
      <c r="E21" s="6">
        <v>1</v>
      </c>
      <c r="F21" s="6">
        <v>0</v>
      </c>
      <c r="G21" s="3">
        <v>89</v>
      </c>
      <c r="H21" s="7">
        <v>1</v>
      </c>
      <c r="I21" s="7">
        <v>0</v>
      </c>
      <c r="J21" s="9">
        <f t="shared" si="0"/>
        <v>1</v>
      </c>
      <c r="K21" s="9">
        <f t="shared" si="1"/>
        <v>0</v>
      </c>
      <c r="L21" s="9">
        <f t="shared" si="2"/>
        <v>1</v>
      </c>
      <c r="M21" s="9">
        <f t="shared" si="3"/>
        <v>0</v>
      </c>
      <c r="N21" s="9">
        <f t="shared" si="4"/>
        <v>0</v>
      </c>
      <c r="O21" s="9">
        <f t="shared" si="5"/>
        <v>1</v>
      </c>
      <c r="P21" s="9">
        <f t="shared" si="6"/>
        <v>0</v>
      </c>
      <c r="Q21" s="16">
        <f t="shared" si="7"/>
        <v>0</v>
      </c>
      <c r="R21" s="16">
        <f t="shared" si="8"/>
        <v>0</v>
      </c>
      <c r="S21" s="16">
        <f t="shared" si="9"/>
        <v>0</v>
      </c>
      <c r="T21" s="16">
        <f t="shared" si="10"/>
        <v>0</v>
      </c>
      <c r="U21" s="16">
        <f t="shared" si="11"/>
        <v>89</v>
      </c>
      <c r="V21" s="16">
        <f t="shared" si="12"/>
        <v>0</v>
      </c>
      <c r="W21" s="16">
        <f t="shared" si="13"/>
        <v>0</v>
      </c>
      <c r="X21" s="16">
        <f t="shared" si="14"/>
        <v>0</v>
      </c>
      <c r="Y21" s="11"/>
      <c r="Z21" s="11"/>
      <c r="AA21" s="11"/>
      <c r="AB21" s="11"/>
      <c r="AC21" s="11"/>
      <c r="AD21" s="11"/>
      <c r="AE21" s="11"/>
      <c r="AF21" s="11"/>
    </row>
    <row r="22" spans="1:32" ht="15.75" x14ac:dyDescent="0.25">
      <c r="A22" s="20" t="s">
        <v>10</v>
      </c>
      <c r="B22" s="6">
        <v>21</v>
      </c>
      <c r="C22" s="6">
        <v>0</v>
      </c>
      <c r="D22" s="6">
        <v>0</v>
      </c>
      <c r="E22" s="6">
        <v>1</v>
      </c>
      <c r="F22" s="6">
        <v>0</v>
      </c>
      <c r="G22" s="3">
        <v>88</v>
      </c>
      <c r="H22" s="7">
        <v>1</v>
      </c>
      <c r="I22" s="7">
        <v>0</v>
      </c>
      <c r="J22" s="9">
        <f t="shared" si="0"/>
        <v>1</v>
      </c>
      <c r="K22" s="9">
        <f t="shared" si="1"/>
        <v>0</v>
      </c>
      <c r="L22" s="9">
        <f t="shared" si="2"/>
        <v>1</v>
      </c>
      <c r="M22" s="9">
        <f t="shared" si="3"/>
        <v>0</v>
      </c>
      <c r="N22" s="9">
        <f t="shared" si="4"/>
        <v>0</v>
      </c>
      <c r="O22" s="9">
        <f t="shared" si="5"/>
        <v>1</v>
      </c>
      <c r="P22" s="9">
        <f t="shared" si="6"/>
        <v>0</v>
      </c>
      <c r="Q22" s="16">
        <f t="shared" si="7"/>
        <v>0</v>
      </c>
      <c r="R22" s="16">
        <f t="shared" si="8"/>
        <v>0</v>
      </c>
      <c r="S22" s="16">
        <f t="shared" si="9"/>
        <v>0</v>
      </c>
      <c r="T22" s="16">
        <f t="shared" si="10"/>
        <v>0</v>
      </c>
      <c r="U22" s="16">
        <f t="shared" si="11"/>
        <v>88</v>
      </c>
      <c r="V22" s="16">
        <f t="shared" si="12"/>
        <v>0</v>
      </c>
      <c r="W22" s="16">
        <f t="shared" si="13"/>
        <v>0</v>
      </c>
      <c r="X22" s="16">
        <f t="shared" si="14"/>
        <v>0</v>
      </c>
      <c r="Y22" s="11"/>
      <c r="Z22" s="11"/>
      <c r="AA22" s="11"/>
      <c r="AB22" s="11"/>
      <c r="AC22" s="11"/>
      <c r="AD22" s="11"/>
      <c r="AE22" s="11"/>
      <c r="AF22" s="11"/>
    </row>
    <row r="23" spans="1:32" ht="15.75" x14ac:dyDescent="0.25">
      <c r="A23" s="20" t="s">
        <v>2</v>
      </c>
      <c r="B23" s="6">
        <v>22</v>
      </c>
      <c r="C23" s="6">
        <v>0</v>
      </c>
      <c r="D23" s="6">
        <v>0</v>
      </c>
      <c r="E23" s="6">
        <v>1</v>
      </c>
      <c r="F23" s="6">
        <v>0</v>
      </c>
      <c r="G23" s="3">
        <v>92</v>
      </c>
      <c r="H23" s="7">
        <v>0</v>
      </c>
      <c r="I23" s="7">
        <v>1</v>
      </c>
      <c r="J23" s="9">
        <f t="shared" si="0"/>
        <v>1</v>
      </c>
      <c r="K23" s="9">
        <f t="shared" si="1"/>
        <v>0</v>
      </c>
      <c r="L23" s="9">
        <f t="shared" si="2"/>
        <v>1</v>
      </c>
      <c r="M23" s="9">
        <f t="shared" si="3"/>
        <v>0</v>
      </c>
      <c r="N23" s="9">
        <f t="shared" si="4"/>
        <v>0</v>
      </c>
      <c r="O23" s="9">
        <f t="shared" si="5"/>
        <v>0</v>
      </c>
      <c r="P23" s="9">
        <f t="shared" si="6"/>
        <v>0</v>
      </c>
      <c r="Q23" s="16">
        <f t="shared" si="7"/>
        <v>0</v>
      </c>
      <c r="R23" s="16">
        <f t="shared" si="8"/>
        <v>0</v>
      </c>
      <c r="S23" s="16">
        <f t="shared" si="9"/>
        <v>0</v>
      </c>
      <c r="T23" s="16">
        <f t="shared" si="10"/>
        <v>0</v>
      </c>
      <c r="U23" s="16">
        <f t="shared" si="11"/>
        <v>0</v>
      </c>
      <c r="V23" s="16">
        <f t="shared" si="12"/>
        <v>92</v>
      </c>
      <c r="W23" s="16">
        <f t="shared" si="13"/>
        <v>0</v>
      </c>
      <c r="X23" s="16">
        <f t="shared" si="14"/>
        <v>0</v>
      </c>
      <c r="Y23" s="11"/>
      <c r="Z23" s="11"/>
      <c r="AA23" s="11"/>
      <c r="AB23" s="11"/>
      <c r="AC23" s="11"/>
      <c r="AD23" s="11"/>
      <c r="AE23" s="11"/>
      <c r="AF23" s="11"/>
    </row>
    <row r="24" spans="1:32" ht="15.75" x14ac:dyDescent="0.25">
      <c r="A24" s="20" t="s">
        <v>19</v>
      </c>
      <c r="B24" s="6">
        <v>23</v>
      </c>
      <c r="C24" s="6">
        <v>0</v>
      </c>
      <c r="D24" s="6">
        <v>0</v>
      </c>
      <c r="E24" s="6">
        <v>1</v>
      </c>
      <c r="F24" s="6">
        <v>0</v>
      </c>
      <c r="G24" s="3">
        <v>76</v>
      </c>
      <c r="H24" s="7">
        <v>0</v>
      </c>
      <c r="I24" s="7">
        <v>0</v>
      </c>
      <c r="J24" s="9">
        <f t="shared" si="0"/>
        <v>0</v>
      </c>
      <c r="K24" s="9">
        <f t="shared" si="1"/>
        <v>0</v>
      </c>
      <c r="L24" s="9">
        <f t="shared" si="2"/>
        <v>0</v>
      </c>
      <c r="M24" s="9">
        <f t="shared" si="3"/>
        <v>0</v>
      </c>
      <c r="N24" s="9">
        <f t="shared" si="4"/>
        <v>0</v>
      </c>
      <c r="O24" s="9">
        <f t="shared" si="5"/>
        <v>0</v>
      </c>
      <c r="P24" s="9">
        <f t="shared" si="6"/>
        <v>0</v>
      </c>
      <c r="Q24" s="16">
        <f t="shared" si="7"/>
        <v>0</v>
      </c>
      <c r="R24" s="16">
        <f t="shared" si="8"/>
        <v>0</v>
      </c>
      <c r="S24" s="16">
        <f t="shared" si="9"/>
        <v>0</v>
      </c>
      <c r="T24" s="16">
        <f t="shared" si="10"/>
        <v>0</v>
      </c>
      <c r="U24" s="16">
        <f t="shared" si="11"/>
        <v>0</v>
      </c>
      <c r="V24" s="16">
        <f t="shared" si="12"/>
        <v>0</v>
      </c>
      <c r="W24" s="16">
        <f t="shared" si="13"/>
        <v>0</v>
      </c>
      <c r="X24" s="16">
        <f t="shared" si="14"/>
        <v>0</v>
      </c>
      <c r="Y24" s="11"/>
      <c r="Z24" s="11"/>
      <c r="AA24" s="11"/>
      <c r="AB24" s="11"/>
      <c r="AC24" s="11"/>
      <c r="AD24" s="11"/>
      <c r="AE24" s="11"/>
      <c r="AF24" s="11"/>
    </row>
    <row r="25" spans="1:32" ht="15.75" x14ac:dyDescent="0.25">
      <c r="A25" s="21" t="s">
        <v>5</v>
      </c>
      <c r="B25" s="6">
        <v>24</v>
      </c>
      <c r="C25" s="6">
        <v>0</v>
      </c>
      <c r="D25" s="6">
        <v>0</v>
      </c>
      <c r="E25" s="6">
        <v>0</v>
      </c>
      <c r="F25" s="6">
        <v>1</v>
      </c>
      <c r="G25" s="3">
        <v>91</v>
      </c>
      <c r="H25" s="7">
        <v>1</v>
      </c>
      <c r="I25" s="7">
        <v>0</v>
      </c>
      <c r="J25" s="9">
        <f t="shared" si="0"/>
        <v>1</v>
      </c>
      <c r="K25" s="9">
        <f t="shared" si="1"/>
        <v>0</v>
      </c>
      <c r="L25" s="9">
        <f t="shared" si="2"/>
        <v>1</v>
      </c>
      <c r="M25" s="9">
        <f t="shared" si="3"/>
        <v>0</v>
      </c>
      <c r="N25" s="9">
        <f t="shared" si="4"/>
        <v>0</v>
      </c>
      <c r="O25" s="9">
        <f t="shared" si="5"/>
        <v>0</v>
      </c>
      <c r="P25" s="9">
        <f t="shared" si="6"/>
        <v>1</v>
      </c>
      <c r="Q25" s="14">
        <f t="shared" si="7"/>
        <v>0</v>
      </c>
      <c r="R25" s="14">
        <f t="shared" si="8"/>
        <v>0</v>
      </c>
      <c r="S25" s="14">
        <f t="shared" si="9"/>
        <v>0</v>
      </c>
      <c r="T25" s="14">
        <f t="shared" si="10"/>
        <v>0</v>
      </c>
      <c r="U25" s="14">
        <f t="shared" si="11"/>
        <v>0</v>
      </c>
      <c r="V25" s="14">
        <f t="shared" si="12"/>
        <v>0</v>
      </c>
      <c r="W25" s="14">
        <f t="shared" si="13"/>
        <v>91</v>
      </c>
      <c r="X25" s="14">
        <f t="shared" si="14"/>
        <v>0</v>
      </c>
      <c r="Y25" s="11"/>
      <c r="Z25" s="11"/>
      <c r="AA25" s="11"/>
      <c r="AB25" s="11"/>
      <c r="AC25" s="11"/>
      <c r="AD25" s="11"/>
      <c r="AE25" s="11"/>
      <c r="AF25" s="11"/>
    </row>
    <row r="26" spans="1:32" ht="15.75" x14ac:dyDescent="0.25">
      <c r="A26" s="21" t="s">
        <v>18</v>
      </c>
      <c r="B26" s="6">
        <v>25</v>
      </c>
      <c r="C26" s="6">
        <v>0</v>
      </c>
      <c r="D26" s="6">
        <v>0</v>
      </c>
      <c r="E26" s="6">
        <v>0</v>
      </c>
      <c r="F26" s="6">
        <v>1</v>
      </c>
      <c r="G26" s="3">
        <v>79</v>
      </c>
      <c r="H26" s="7">
        <v>0</v>
      </c>
      <c r="I26" s="7">
        <v>0</v>
      </c>
      <c r="J26" s="9">
        <f t="shared" si="0"/>
        <v>0</v>
      </c>
      <c r="K26" s="9">
        <f t="shared" si="1"/>
        <v>0</v>
      </c>
      <c r="L26" s="9">
        <f t="shared" si="2"/>
        <v>0</v>
      </c>
      <c r="M26" s="9">
        <f t="shared" si="3"/>
        <v>0</v>
      </c>
      <c r="N26" s="9">
        <f t="shared" si="4"/>
        <v>0</v>
      </c>
      <c r="O26" s="9">
        <f t="shared" si="5"/>
        <v>0</v>
      </c>
      <c r="P26" s="9">
        <f t="shared" si="6"/>
        <v>0</v>
      </c>
      <c r="Q26" s="14">
        <f t="shared" si="7"/>
        <v>0</v>
      </c>
      <c r="R26" s="14">
        <f t="shared" si="8"/>
        <v>0</v>
      </c>
      <c r="S26" s="14">
        <f t="shared" si="9"/>
        <v>0</v>
      </c>
      <c r="T26" s="14">
        <f t="shared" si="10"/>
        <v>0</v>
      </c>
      <c r="U26" s="14">
        <f t="shared" si="11"/>
        <v>0</v>
      </c>
      <c r="V26" s="14">
        <f t="shared" si="12"/>
        <v>0</v>
      </c>
      <c r="W26" s="14">
        <f t="shared" si="13"/>
        <v>0</v>
      </c>
      <c r="X26" s="14">
        <f t="shared" si="14"/>
        <v>0</v>
      </c>
      <c r="Y26" s="11"/>
      <c r="Z26" s="11"/>
      <c r="AA26" s="11"/>
      <c r="AB26" s="11"/>
      <c r="AC26" s="11"/>
      <c r="AD26" s="11"/>
      <c r="AE26" s="11"/>
      <c r="AF26" s="11"/>
    </row>
    <row r="27" spans="1:32" ht="15.75" x14ac:dyDescent="0.25">
      <c r="A27" s="21" t="s">
        <v>20</v>
      </c>
      <c r="B27" s="6">
        <v>26</v>
      </c>
      <c r="C27" s="6">
        <v>0</v>
      </c>
      <c r="D27" s="6">
        <v>0</v>
      </c>
      <c r="E27" s="6">
        <v>0</v>
      </c>
      <c r="F27" s="6">
        <v>1</v>
      </c>
      <c r="G27" s="3">
        <v>98</v>
      </c>
      <c r="H27" s="7">
        <v>1</v>
      </c>
      <c r="I27" s="7">
        <v>0</v>
      </c>
      <c r="J27" s="9">
        <f t="shared" si="0"/>
        <v>1</v>
      </c>
      <c r="K27" s="9">
        <f t="shared" si="1"/>
        <v>0</v>
      </c>
      <c r="L27" s="9">
        <f t="shared" si="2"/>
        <v>1</v>
      </c>
      <c r="M27" s="9">
        <f t="shared" si="3"/>
        <v>0</v>
      </c>
      <c r="N27" s="9">
        <f t="shared" si="4"/>
        <v>0</v>
      </c>
      <c r="O27" s="9">
        <f t="shared" si="5"/>
        <v>0</v>
      </c>
      <c r="P27" s="9">
        <f t="shared" si="6"/>
        <v>1</v>
      </c>
      <c r="Q27" s="14">
        <f t="shared" si="7"/>
        <v>0</v>
      </c>
      <c r="R27" s="14">
        <f t="shared" si="8"/>
        <v>0</v>
      </c>
      <c r="S27" s="14">
        <f t="shared" si="9"/>
        <v>0</v>
      </c>
      <c r="T27" s="14">
        <f t="shared" si="10"/>
        <v>0</v>
      </c>
      <c r="U27" s="14">
        <f t="shared" si="11"/>
        <v>0</v>
      </c>
      <c r="V27" s="14">
        <f t="shared" si="12"/>
        <v>0</v>
      </c>
      <c r="W27" s="14">
        <f t="shared" si="13"/>
        <v>98</v>
      </c>
      <c r="X27" s="14">
        <f t="shared" si="14"/>
        <v>0</v>
      </c>
      <c r="Y27" s="11"/>
      <c r="Z27" s="11"/>
      <c r="AA27" s="11"/>
      <c r="AB27" s="11"/>
      <c r="AC27" s="11"/>
      <c r="AD27" s="11"/>
      <c r="AE27" s="11"/>
      <c r="AF27" s="11"/>
    </row>
    <row r="28" spans="1:32" ht="15.75" x14ac:dyDescent="0.25">
      <c r="A28" s="21" t="s">
        <v>23</v>
      </c>
      <c r="B28" s="6">
        <v>27</v>
      </c>
      <c r="C28" s="6">
        <v>0</v>
      </c>
      <c r="D28" s="6">
        <v>0</v>
      </c>
      <c r="E28" s="6">
        <v>0</v>
      </c>
      <c r="F28" s="6">
        <v>1</v>
      </c>
      <c r="G28" s="3">
        <v>85</v>
      </c>
      <c r="H28" s="7">
        <v>0</v>
      </c>
      <c r="I28" s="7">
        <v>0</v>
      </c>
      <c r="J28" s="9">
        <f t="shared" si="0"/>
        <v>0</v>
      </c>
      <c r="K28" s="9">
        <f t="shared" si="1"/>
        <v>0</v>
      </c>
      <c r="L28" s="9">
        <f t="shared" si="2"/>
        <v>0</v>
      </c>
      <c r="M28" s="9">
        <f t="shared" si="3"/>
        <v>0</v>
      </c>
      <c r="N28" s="9">
        <f t="shared" si="4"/>
        <v>0</v>
      </c>
      <c r="O28" s="9">
        <f t="shared" si="5"/>
        <v>0</v>
      </c>
      <c r="P28" s="9">
        <f t="shared" si="6"/>
        <v>0</v>
      </c>
      <c r="Q28" s="14">
        <f t="shared" si="7"/>
        <v>0</v>
      </c>
      <c r="R28" s="14">
        <f t="shared" si="8"/>
        <v>0</v>
      </c>
      <c r="S28" s="14">
        <f t="shared" si="9"/>
        <v>0</v>
      </c>
      <c r="T28" s="14">
        <f t="shared" si="10"/>
        <v>0</v>
      </c>
      <c r="U28" s="14">
        <f t="shared" si="11"/>
        <v>0</v>
      </c>
      <c r="V28" s="14">
        <f t="shared" si="12"/>
        <v>0</v>
      </c>
      <c r="W28" s="14">
        <f t="shared" si="13"/>
        <v>0</v>
      </c>
      <c r="X28" s="14">
        <f t="shared" si="14"/>
        <v>0</v>
      </c>
      <c r="Y28" s="11"/>
      <c r="Z28" s="11"/>
      <c r="AA28" s="11"/>
      <c r="AB28" s="11"/>
      <c r="AC28" s="11"/>
      <c r="AD28" s="11"/>
      <c r="AE28" s="11"/>
      <c r="AF28" s="11"/>
    </row>
    <row r="29" spans="1:32" ht="15.75" x14ac:dyDescent="0.25">
      <c r="A29" s="21" t="s">
        <v>38</v>
      </c>
      <c r="B29" s="6">
        <v>28</v>
      </c>
      <c r="C29" s="6">
        <v>0</v>
      </c>
      <c r="D29" s="6">
        <v>0</v>
      </c>
      <c r="E29" s="6">
        <v>0</v>
      </c>
      <c r="F29" s="6">
        <v>1</v>
      </c>
      <c r="G29" s="3">
        <v>79</v>
      </c>
      <c r="H29" s="7">
        <v>0</v>
      </c>
      <c r="I29" s="7">
        <v>0</v>
      </c>
      <c r="J29" s="9">
        <f t="shared" si="0"/>
        <v>0</v>
      </c>
      <c r="K29" s="9">
        <f t="shared" si="1"/>
        <v>0</v>
      </c>
      <c r="L29" s="9">
        <f t="shared" si="2"/>
        <v>0</v>
      </c>
      <c r="M29" s="9">
        <f t="shared" si="3"/>
        <v>0</v>
      </c>
      <c r="N29" s="9">
        <f t="shared" si="4"/>
        <v>0</v>
      </c>
      <c r="O29" s="9">
        <f t="shared" si="5"/>
        <v>0</v>
      </c>
      <c r="P29" s="9">
        <f t="shared" si="6"/>
        <v>0</v>
      </c>
      <c r="Q29" s="14">
        <f t="shared" si="7"/>
        <v>0</v>
      </c>
      <c r="R29" s="14">
        <f t="shared" si="8"/>
        <v>0</v>
      </c>
      <c r="S29" s="14">
        <f t="shared" si="9"/>
        <v>0</v>
      </c>
      <c r="T29" s="14">
        <f t="shared" si="10"/>
        <v>0</v>
      </c>
      <c r="U29" s="14">
        <f t="shared" si="11"/>
        <v>0</v>
      </c>
      <c r="V29" s="14">
        <f t="shared" si="12"/>
        <v>0</v>
      </c>
      <c r="W29" s="14">
        <f t="shared" si="13"/>
        <v>0</v>
      </c>
      <c r="X29" s="14">
        <f t="shared" si="14"/>
        <v>0</v>
      </c>
      <c r="Y29" s="11"/>
      <c r="Z29" s="11"/>
      <c r="AA29" s="11"/>
      <c r="AB29" s="11"/>
      <c r="AC29" s="11"/>
      <c r="AD29" s="11"/>
      <c r="AE29" s="11"/>
      <c r="AF29" s="11"/>
    </row>
    <row r="30" spans="1:32" ht="15.75" x14ac:dyDescent="0.25">
      <c r="A30" s="21" t="s">
        <v>6</v>
      </c>
      <c r="B30" s="6">
        <v>29</v>
      </c>
      <c r="C30" s="6">
        <v>0</v>
      </c>
      <c r="D30" s="6">
        <v>0</v>
      </c>
      <c r="E30" s="6">
        <v>0</v>
      </c>
      <c r="F30" s="6">
        <v>1</v>
      </c>
      <c r="G30" s="3">
        <v>117</v>
      </c>
      <c r="H30" s="7">
        <v>0</v>
      </c>
      <c r="I30" s="7">
        <v>1</v>
      </c>
      <c r="J30" s="9">
        <f t="shared" si="0"/>
        <v>1</v>
      </c>
      <c r="K30" s="9">
        <f t="shared" si="1"/>
        <v>0</v>
      </c>
      <c r="L30" s="9">
        <f t="shared" si="2"/>
        <v>1</v>
      </c>
      <c r="M30" s="9">
        <f t="shared" si="3"/>
        <v>0</v>
      </c>
      <c r="N30" s="9">
        <f t="shared" si="4"/>
        <v>0</v>
      </c>
      <c r="O30" s="9">
        <f t="shared" si="5"/>
        <v>0</v>
      </c>
      <c r="P30" s="9">
        <f t="shared" si="6"/>
        <v>0</v>
      </c>
      <c r="Q30" s="14">
        <f t="shared" si="7"/>
        <v>0</v>
      </c>
      <c r="R30" s="14">
        <f t="shared" si="8"/>
        <v>0</v>
      </c>
      <c r="S30" s="14">
        <f t="shared" si="9"/>
        <v>0</v>
      </c>
      <c r="T30" s="14">
        <f t="shared" si="10"/>
        <v>0</v>
      </c>
      <c r="U30" s="14">
        <f t="shared" si="11"/>
        <v>0</v>
      </c>
      <c r="V30" s="14">
        <f t="shared" si="12"/>
        <v>0</v>
      </c>
      <c r="W30" s="14">
        <f t="shared" si="13"/>
        <v>0</v>
      </c>
      <c r="X30" s="14">
        <f t="shared" si="14"/>
        <v>117</v>
      </c>
      <c r="Y30" s="11"/>
      <c r="Z30" s="11"/>
      <c r="AA30" s="11"/>
      <c r="AB30" s="11"/>
      <c r="AC30" s="11"/>
      <c r="AD30" s="11"/>
      <c r="AE30" s="11"/>
      <c r="AF30" s="11"/>
    </row>
    <row r="31" spans="1:32" ht="15.75" x14ac:dyDescent="0.25">
      <c r="A31" s="21" t="s">
        <v>22</v>
      </c>
      <c r="B31" s="6">
        <v>30</v>
      </c>
      <c r="C31" s="6">
        <v>0</v>
      </c>
      <c r="D31" s="6">
        <v>0</v>
      </c>
      <c r="E31" s="6">
        <v>0</v>
      </c>
      <c r="F31" s="6">
        <v>1</v>
      </c>
      <c r="G31" s="3">
        <v>100</v>
      </c>
      <c r="H31" s="7">
        <v>0</v>
      </c>
      <c r="I31" s="7">
        <v>1</v>
      </c>
      <c r="J31" s="9">
        <f t="shared" si="0"/>
        <v>1</v>
      </c>
      <c r="K31" s="9">
        <f t="shared" si="1"/>
        <v>0</v>
      </c>
      <c r="L31" s="9">
        <f t="shared" si="2"/>
        <v>1</v>
      </c>
      <c r="M31" s="9">
        <f t="shared" si="3"/>
        <v>0</v>
      </c>
      <c r="N31" s="9">
        <f t="shared" si="4"/>
        <v>0</v>
      </c>
      <c r="O31" s="9">
        <f t="shared" si="5"/>
        <v>0</v>
      </c>
      <c r="P31" s="9">
        <f t="shared" si="6"/>
        <v>0</v>
      </c>
      <c r="Q31" s="14">
        <f t="shared" si="7"/>
        <v>0</v>
      </c>
      <c r="R31" s="14">
        <f t="shared" si="8"/>
        <v>0</v>
      </c>
      <c r="S31" s="14">
        <f t="shared" si="9"/>
        <v>0</v>
      </c>
      <c r="T31" s="14">
        <f t="shared" si="10"/>
        <v>0</v>
      </c>
      <c r="U31" s="14">
        <f t="shared" si="11"/>
        <v>0</v>
      </c>
      <c r="V31" s="14">
        <f t="shared" si="12"/>
        <v>0</v>
      </c>
      <c r="W31" s="14">
        <f t="shared" si="13"/>
        <v>0</v>
      </c>
      <c r="X31" s="14">
        <f t="shared" si="14"/>
        <v>100</v>
      </c>
      <c r="Y31" s="11"/>
      <c r="Z31" s="11"/>
      <c r="AA31" s="11"/>
      <c r="AB31" s="11"/>
      <c r="AC31" s="11"/>
      <c r="AD31" s="11"/>
      <c r="AE31" s="11"/>
      <c r="AF31" s="11"/>
    </row>
    <row r="32" spans="1:32" ht="15.75" x14ac:dyDescent="0.25">
      <c r="A32" s="2"/>
      <c r="B32" s="2"/>
      <c r="C32" s="2"/>
      <c r="D32" s="2"/>
      <c r="E32" s="2"/>
      <c r="F32" s="1"/>
    </row>
    <row r="33" spans="1:22" ht="15.75" x14ac:dyDescent="0.25">
      <c r="A33" s="2" t="s">
        <v>45</v>
      </c>
      <c r="B33" s="2"/>
      <c r="C33" s="2"/>
      <c r="D33" s="2"/>
      <c r="E33" s="2"/>
      <c r="F33" s="1"/>
      <c r="H33">
        <f>SUM(H2:H31)</f>
        <v>8</v>
      </c>
      <c r="I33">
        <f>SUM(I2:I31)</f>
        <v>8</v>
      </c>
      <c r="K33">
        <f>SUM(K2:K31)</f>
        <v>8</v>
      </c>
      <c r="L33">
        <f>SUM(L2:L31)</f>
        <v>8</v>
      </c>
      <c r="N33" s="6"/>
      <c r="O33" t="s">
        <v>74</v>
      </c>
      <c r="U33" s="17"/>
      <c r="V33" t="s">
        <v>60</v>
      </c>
    </row>
    <row r="34" spans="1:22" ht="15.75" x14ac:dyDescent="0.25">
      <c r="A34" s="2"/>
      <c r="B34" s="2"/>
      <c r="C34" s="2"/>
      <c r="D34" s="2"/>
      <c r="E34" s="2"/>
      <c r="F34" s="1"/>
      <c r="N34" s="9"/>
      <c r="O34" t="s">
        <v>75</v>
      </c>
      <c r="U34" s="15"/>
      <c r="V34" t="s">
        <v>59</v>
      </c>
    </row>
    <row r="35" spans="1:22" ht="15.75" x14ac:dyDescent="0.25">
      <c r="A35" s="2" t="s">
        <v>36</v>
      </c>
      <c r="B35" s="2"/>
      <c r="C35" s="2"/>
      <c r="D35" s="2"/>
      <c r="E35" s="2"/>
      <c r="F35" s="1"/>
      <c r="N35" s="7"/>
      <c r="O35" t="s">
        <v>76</v>
      </c>
      <c r="U35" s="12"/>
      <c r="V35" t="s">
        <v>61</v>
      </c>
    </row>
    <row r="36" spans="1:22" ht="15.75" x14ac:dyDescent="0.25">
      <c r="A36" s="1" t="s">
        <v>35</v>
      </c>
      <c r="B36">
        <f>SUMPRODUCT(G2:G31,H2:H31)</f>
        <v>797</v>
      </c>
      <c r="N36" s="3"/>
      <c r="O36" t="s">
        <v>77</v>
      </c>
      <c r="U36" s="14"/>
      <c r="V36" t="s">
        <v>62</v>
      </c>
    </row>
    <row r="37" spans="1:22" ht="15.75" x14ac:dyDescent="0.25">
      <c r="A37" s="1" t="s">
        <v>34</v>
      </c>
      <c r="B37">
        <f>SUMPRODUCT(G2:G31,I2:I31)</f>
        <v>814</v>
      </c>
    </row>
    <row r="39" spans="1:22" ht="15.75" x14ac:dyDescent="0.25">
      <c r="A39" s="1" t="s">
        <v>33</v>
      </c>
      <c r="B39">
        <f>B36+B37</f>
        <v>1611</v>
      </c>
    </row>
    <row r="41" spans="1:22" ht="15.75" x14ac:dyDescent="0.25">
      <c r="A41" s="1" t="s">
        <v>47</v>
      </c>
    </row>
    <row r="42" spans="1:22" x14ac:dyDescent="0.25">
      <c r="B42">
        <f>SUM(H2:H31) +SUM(I2:I31)</f>
        <v>16</v>
      </c>
      <c r="C42" t="s">
        <v>48</v>
      </c>
      <c r="D42">
        <v>16</v>
      </c>
    </row>
    <row r="43" spans="1:22" x14ac:dyDescent="0.25">
      <c r="C43" t="s">
        <v>49</v>
      </c>
      <c r="D43">
        <v>1</v>
      </c>
    </row>
    <row r="44" spans="1:22" x14ac:dyDescent="0.25">
      <c r="B44">
        <f>SUM(K2:K31)</f>
        <v>8</v>
      </c>
      <c r="C44" t="s">
        <v>49</v>
      </c>
      <c r="D44">
        <v>8</v>
      </c>
    </row>
    <row r="45" spans="1:22" x14ac:dyDescent="0.25">
      <c r="B45">
        <f>SUM(L2:L31)</f>
        <v>8</v>
      </c>
      <c r="C45" t="s">
        <v>49</v>
      </c>
      <c r="D45">
        <v>8</v>
      </c>
    </row>
    <row r="47" spans="1:22" x14ac:dyDescent="0.25">
      <c r="A47" t="s">
        <v>54</v>
      </c>
      <c r="B47">
        <f>SUM(M2:M31)</f>
        <v>2</v>
      </c>
      <c r="C47" t="s">
        <v>48</v>
      </c>
      <c r="D47">
        <f>SUM(N2:N31)</f>
        <v>2</v>
      </c>
    </row>
    <row r="48" spans="1:22" x14ac:dyDescent="0.25">
      <c r="A48" t="s">
        <v>55</v>
      </c>
      <c r="B48">
        <f>SUM(O2:O31)</f>
        <v>2</v>
      </c>
      <c r="C48" t="s">
        <v>48</v>
      </c>
      <c r="D48">
        <f>SUM(P2:P31)</f>
        <v>2</v>
      </c>
    </row>
    <row r="50" spans="1:4" x14ac:dyDescent="0.25">
      <c r="A50" t="s">
        <v>57</v>
      </c>
      <c r="B50">
        <f>B47</f>
        <v>2</v>
      </c>
      <c r="C50" t="s">
        <v>56</v>
      </c>
      <c r="D50">
        <f>B48</f>
        <v>2</v>
      </c>
    </row>
    <row r="51" spans="1:4" x14ac:dyDescent="0.25">
      <c r="B51" t="s">
        <v>58</v>
      </c>
    </row>
  </sheetData>
  <autoFilter ref="A1:X31">
    <sortState ref="A2:X31">
      <sortCondition ref="B1:B31"/>
    </sortState>
  </autoFilter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51"/>
  <sheetViews>
    <sheetView topLeftCell="B25" workbookViewId="0">
      <selection activeCell="I9" sqref="I9"/>
    </sheetView>
  </sheetViews>
  <sheetFormatPr defaultRowHeight="15" x14ac:dyDescent="0.25"/>
  <cols>
    <col min="1" max="1" width="21" bestFit="1" customWidth="1"/>
    <col min="25" max="25" width="7.28515625" customWidth="1"/>
    <col min="26" max="26" width="6.7109375" customWidth="1"/>
    <col min="27" max="27" width="6.5703125" customWidth="1"/>
  </cols>
  <sheetData>
    <row r="1" spans="1:32" ht="47.25" x14ac:dyDescent="0.25">
      <c r="A1" s="4" t="s">
        <v>25</v>
      </c>
      <c r="B1" s="4" t="s">
        <v>37</v>
      </c>
      <c r="C1" s="4" t="s">
        <v>28</v>
      </c>
      <c r="D1" s="4" t="s">
        <v>29</v>
      </c>
      <c r="E1" s="4" t="s">
        <v>30</v>
      </c>
      <c r="F1" s="4" t="s">
        <v>31</v>
      </c>
      <c r="G1" s="5" t="s">
        <v>32</v>
      </c>
      <c r="H1" s="5" t="s">
        <v>26</v>
      </c>
      <c r="I1" s="5" t="s">
        <v>27</v>
      </c>
      <c r="J1" s="13" t="s">
        <v>46</v>
      </c>
      <c r="K1" s="13" t="s">
        <v>43</v>
      </c>
      <c r="L1" s="13" t="s">
        <v>44</v>
      </c>
      <c r="M1" s="8" t="s">
        <v>51</v>
      </c>
      <c r="N1" s="8" t="s">
        <v>50</v>
      </c>
      <c r="O1" s="8" t="s">
        <v>52</v>
      </c>
      <c r="P1" s="8" t="s">
        <v>53</v>
      </c>
      <c r="Q1" s="8" t="s">
        <v>66</v>
      </c>
      <c r="R1" s="8" t="s">
        <v>67</v>
      </c>
      <c r="S1" s="8" t="s">
        <v>68</v>
      </c>
      <c r="T1" s="8" t="s">
        <v>69</v>
      </c>
      <c r="U1" s="8" t="s">
        <v>70</v>
      </c>
      <c r="V1" s="8" t="s">
        <v>71</v>
      </c>
      <c r="W1" s="8" t="s">
        <v>72</v>
      </c>
      <c r="X1" s="8" t="s">
        <v>73</v>
      </c>
      <c r="Y1" s="8"/>
      <c r="Z1" s="8"/>
      <c r="AA1" s="8"/>
      <c r="AB1" s="8"/>
    </row>
    <row r="2" spans="1:32" ht="15.75" x14ac:dyDescent="0.25">
      <c r="A2" s="18" t="s">
        <v>16</v>
      </c>
      <c r="B2" s="6">
        <v>1</v>
      </c>
      <c r="C2" s="6">
        <v>1</v>
      </c>
      <c r="D2" s="6">
        <v>0</v>
      </c>
      <c r="E2" s="6">
        <v>0</v>
      </c>
      <c r="F2" s="6">
        <v>0</v>
      </c>
      <c r="G2" s="3">
        <v>80</v>
      </c>
      <c r="H2" s="7">
        <v>0</v>
      </c>
      <c r="I2" s="7">
        <v>0</v>
      </c>
      <c r="J2" s="9">
        <f t="shared" ref="J2:J31" si="0">H2+I2</f>
        <v>0</v>
      </c>
      <c r="K2" s="9">
        <f t="shared" ref="K2:K31" si="1">(C2+D2)*(H2+I2)</f>
        <v>0</v>
      </c>
      <c r="L2" s="9">
        <f t="shared" ref="L2:L31" si="2">(E2+F2)*(H2+I2)</f>
        <v>0</v>
      </c>
      <c r="M2" s="9">
        <f t="shared" ref="M2:M31" si="3">C2*H2</f>
        <v>0</v>
      </c>
      <c r="N2" s="9">
        <f t="shared" ref="N2:N31" si="4">D2*H2</f>
        <v>0</v>
      </c>
      <c r="O2" s="9">
        <f t="shared" ref="O2:O31" si="5">E2*H2</f>
        <v>0</v>
      </c>
      <c r="P2" s="9">
        <f t="shared" ref="P2:P31" si="6">F2*H2</f>
        <v>0</v>
      </c>
      <c r="Q2" s="17">
        <f t="shared" ref="Q2:Q31" si="7">H2*G2*C2</f>
        <v>0</v>
      </c>
      <c r="R2" s="17">
        <f t="shared" ref="R2:R31" si="8">I2*G2*C2</f>
        <v>0</v>
      </c>
      <c r="S2" s="17">
        <f t="shared" ref="S2:S31" si="9">H2*G2*D2</f>
        <v>0</v>
      </c>
      <c r="T2" s="17">
        <f t="shared" ref="T2:T31" si="10">I2*G2*D2</f>
        <v>0</v>
      </c>
      <c r="U2" s="17">
        <f t="shared" ref="U2:U31" si="11">H2*G2*E2</f>
        <v>0</v>
      </c>
      <c r="V2" s="17">
        <f t="shared" ref="V2:V31" si="12">I2*G2*E2</f>
        <v>0</v>
      </c>
      <c r="W2" s="17">
        <f t="shared" ref="W2:W31" si="13">H2*G2*F2</f>
        <v>0</v>
      </c>
      <c r="X2" s="17">
        <f t="shared" ref="X2:X31" si="14">I2*G2*F2</f>
        <v>0</v>
      </c>
      <c r="Y2" s="11"/>
      <c r="Z2" s="11"/>
      <c r="AA2" s="11"/>
      <c r="AB2" s="11"/>
      <c r="AC2" s="11"/>
      <c r="AD2" s="11"/>
      <c r="AE2" s="11"/>
      <c r="AF2" s="11"/>
    </row>
    <row r="3" spans="1:32" ht="14.25" customHeight="1" x14ac:dyDescent="0.25">
      <c r="A3" s="18" t="s">
        <v>21</v>
      </c>
      <c r="B3" s="6">
        <v>2</v>
      </c>
      <c r="C3" s="6">
        <v>1</v>
      </c>
      <c r="D3" s="6">
        <v>0</v>
      </c>
      <c r="E3" s="6">
        <v>0</v>
      </c>
      <c r="F3" s="6">
        <v>0</v>
      </c>
      <c r="G3" s="3">
        <v>79</v>
      </c>
      <c r="H3" s="7">
        <v>0</v>
      </c>
      <c r="I3" s="7">
        <v>0</v>
      </c>
      <c r="J3" s="9">
        <f t="shared" si="0"/>
        <v>0</v>
      </c>
      <c r="K3" s="9">
        <f t="shared" si="1"/>
        <v>0</v>
      </c>
      <c r="L3" s="9">
        <f t="shared" si="2"/>
        <v>0</v>
      </c>
      <c r="M3" s="9">
        <f t="shared" si="3"/>
        <v>0</v>
      </c>
      <c r="N3" s="9">
        <f t="shared" si="4"/>
        <v>0</v>
      </c>
      <c r="O3" s="9">
        <f t="shared" si="5"/>
        <v>0</v>
      </c>
      <c r="P3" s="9">
        <f t="shared" si="6"/>
        <v>0</v>
      </c>
      <c r="Q3" s="17">
        <f t="shared" si="7"/>
        <v>0</v>
      </c>
      <c r="R3" s="17">
        <f t="shared" si="8"/>
        <v>0</v>
      </c>
      <c r="S3" s="17">
        <f t="shared" si="9"/>
        <v>0</v>
      </c>
      <c r="T3" s="17">
        <f t="shared" si="10"/>
        <v>0</v>
      </c>
      <c r="U3" s="17">
        <f t="shared" si="11"/>
        <v>0</v>
      </c>
      <c r="V3" s="17">
        <f t="shared" si="12"/>
        <v>0</v>
      </c>
      <c r="W3" s="17">
        <f t="shared" si="13"/>
        <v>0</v>
      </c>
      <c r="X3" s="17">
        <f t="shared" si="14"/>
        <v>0</v>
      </c>
      <c r="Y3" s="11"/>
      <c r="Z3" s="11"/>
      <c r="AA3" s="11"/>
      <c r="AB3" s="11"/>
      <c r="AC3" s="11"/>
      <c r="AD3" s="11"/>
      <c r="AE3" s="11"/>
      <c r="AF3" s="11"/>
    </row>
    <row r="4" spans="1:32" ht="15.75" x14ac:dyDescent="0.25">
      <c r="A4" s="18" t="s">
        <v>39</v>
      </c>
      <c r="B4" s="6">
        <v>3</v>
      </c>
      <c r="C4" s="6">
        <v>1</v>
      </c>
      <c r="D4" s="6">
        <v>0</v>
      </c>
      <c r="E4" s="6">
        <v>0</v>
      </c>
      <c r="F4" s="6">
        <v>0</v>
      </c>
      <c r="G4" s="3">
        <v>103</v>
      </c>
      <c r="H4" s="7">
        <v>1</v>
      </c>
      <c r="I4" s="7">
        <v>0</v>
      </c>
      <c r="J4" s="9">
        <f t="shared" si="0"/>
        <v>1</v>
      </c>
      <c r="K4" s="9">
        <f t="shared" si="1"/>
        <v>1</v>
      </c>
      <c r="L4" s="9">
        <f t="shared" si="2"/>
        <v>0</v>
      </c>
      <c r="M4" s="9">
        <f t="shared" si="3"/>
        <v>1</v>
      </c>
      <c r="N4" s="9">
        <f t="shared" si="4"/>
        <v>0</v>
      </c>
      <c r="O4" s="9">
        <f t="shared" si="5"/>
        <v>0</v>
      </c>
      <c r="P4" s="9">
        <f t="shared" si="6"/>
        <v>0</v>
      </c>
      <c r="Q4" s="17">
        <f t="shared" si="7"/>
        <v>103</v>
      </c>
      <c r="R4" s="17">
        <f t="shared" si="8"/>
        <v>0</v>
      </c>
      <c r="S4" s="17">
        <f t="shared" si="9"/>
        <v>0</v>
      </c>
      <c r="T4" s="17">
        <f t="shared" si="10"/>
        <v>0</v>
      </c>
      <c r="U4" s="17">
        <f t="shared" si="11"/>
        <v>0</v>
      </c>
      <c r="V4" s="17">
        <f t="shared" si="12"/>
        <v>0</v>
      </c>
      <c r="W4" s="17">
        <f t="shared" si="13"/>
        <v>0</v>
      </c>
      <c r="X4" s="17">
        <f t="shared" si="14"/>
        <v>0</v>
      </c>
      <c r="Y4" s="11"/>
      <c r="Z4" s="11"/>
      <c r="AA4" s="11"/>
      <c r="AB4" s="11"/>
      <c r="AC4" s="11"/>
      <c r="AD4" s="11"/>
      <c r="AE4" s="11"/>
      <c r="AF4" s="11"/>
    </row>
    <row r="5" spans="1:32" ht="15.75" x14ac:dyDescent="0.25">
      <c r="A5" s="18" t="s">
        <v>40</v>
      </c>
      <c r="B5" s="6">
        <v>4</v>
      </c>
      <c r="C5" s="6">
        <v>1</v>
      </c>
      <c r="D5" s="6">
        <v>0</v>
      </c>
      <c r="E5" s="6">
        <v>0</v>
      </c>
      <c r="F5" s="6">
        <v>0</v>
      </c>
      <c r="G5" s="3">
        <v>79</v>
      </c>
      <c r="H5" s="7">
        <v>0</v>
      </c>
      <c r="I5" s="7">
        <v>0</v>
      </c>
      <c r="J5" s="9">
        <f t="shared" si="0"/>
        <v>0</v>
      </c>
      <c r="K5" s="9">
        <f t="shared" si="1"/>
        <v>0</v>
      </c>
      <c r="L5" s="9">
        <f t="shared" si="2"/>
        <v>0</v>
      </c>
      <c r="M5" s="9">
        <f t="shared" si="3"/>
        <v>0</v>
      </c>
      <c r="N5" s="9">
        <f t="shared" si="4"/>
        <v>0</v>
      </c>
      <c r="O5" s="9">
        <f t="shared" si="5"/>
        <v>0</v>
      </c>
      <c r="P5" s="9">
        <f t="shared" si="6"/>
        <v>0</v>
      </c>
      <c r="Q5" s="17">
        <f t="shared" si="7"/>
        <v>0</v>
      </c>
      <c r="R5" s="17">
        <f t="shared" si="8"/>
        <v>0</v>
      </c>
      <c r="S5" s="17">
        <f t="shared" si="9"/>
        <v>0</v>
      </c>
      <c r="T5" s="17">
        <f t="shared" si="10"/>
        <v>0</v>
      </c>
      <c r="U5" s="17">
        <f t="shared" si="11"/>
        <v>0</v>
      </c>
      <c r="V5" s="17">
        <f t="shared" si="12"/>
        <v>0</v>
      </c>
      <c r="W5" s="17">
        <f t="shared" si="13"/>
        <v>0</v>
      </c>
      <c r="X5" s="17">
        <f t="shared" si="14"/>
        <v>0</v>
      </c>
      <c r="Y5" s="11"/>
      <c r="Z5" s="11"/>
      <c r="AA5" s="11"/>
      <c r="AB5" s="11"/>
      <c r="AC5" s="11"/>
      <c r="AD5" s="11"/>
      <c r="AE5" s="11"/>
      <c r="AF5" s="11"/>
    </row>
    <row r="6" spans="1:32" ht="15.75" x14ac:dyDescent="0.25">
      <c r="A6" s="18" t="s">
        <v>41</v>
      </c>
      <c r="B6" s="6">
        <v>5</v>
      </c>
      <c r="C6" s="6">
        <v>1</v>
      </c>
      <c r="D6" s="6">
        <v>0</v>
      </c>
      <c r="E6" s="6">
        <v>0</v>
      </c>
      <c r="F6" s="6">
        <v>0</v>
      </c>
      <c r="G6" s="3">
        <v>87</v>
      </c>
      <c r="H6" s="7">
        <v>0</v>
      </c>
      <c r="I6" s="7">
        <v>0</v>
      </c>
      <c r="J6" s="9">
        <f t="shared" si="0"/>
        <v>0</v>
      </c>
      <c r="K6" s="9">
        <f t="shared" si="1"/>
        <v>0</v>
      </c>
      <c r="L6" s="9">
        <f t="shared" si="2"/>
        <v>0</v>
      </c>
      <c r="M6" s="9">
        <f t="shared" si="3"/>
        <v>0</v>
      </c>
      <c r="N6" s="9">
        <f t="shared" si="4"/>
        <v>0</v>
      </c>
      <c r="O6" s="9">
        <f t="shared" si="5"/>
        <v>0</v>
      </c>
      <c r="P6" s="9">
        <f t="shared" si="6"/>
        <v>0</v>
      </c>
      <c r="Q6" s="17">
        <f t="shared" si="7"/>
        <v>0</v>
      </c>
      <c r="R6" s="17">
        <f t="shared" si="8"/>
        <v>0</v>
      </c>
      <c r="S6" s="17">
        <f t="shared" si="9"/>
        <v>0</v>
      </c>
      <c r="T6" s="17">
        <f t="shared" si="10"/>
        <v>0</v>
      </c>
      <c r="U6" s="17">
        <f t="shared" si="11"/>
        <v>0</v>
      </c>
      <c r="V6" s="17">
        <f t="shared" si="12"/>
        <v>0</v>
      </c>
      <c r="W6" s="17">
        <f t="shared" si="13"/>
        <v>0</v>
      </c>
      <c r="X6" s="17">
        <f t="shared" si="14"/>
        <v>0</v>
      </c>
      <c r="Y6" s="11"/>
      <c r="Z6" s="11"/>
      <c r="AA6" s="11"/>
      <c r="AB6" s="11"/>
      <c r="AC6" s="11"/>
      <c r="AD6" s="11"/>
      <c r="AE6" s="11"/>
      <c r="AF6" s="11"/>
    </row>
    <row r="7" spans="1:32" ht="15.75" x14ac:dyDescent="0.25">
      <c r="A7" s="18" t="s">
        <v>9</v>
      </c>
      <c r="B7" s="6">
        <v>6</v>
      </c>
      <c r="C7" s="6">
        <v>1</v>
      </c>
      <c r="D7" s="6">
        <v>0</v>
      </c>
      <c r="E7" s="6">
        <v>0</v>
      </c>
      <c r="F7" s="6">
        <v>0</v>
      </c>
      <c r="G7" s="3">
        <v>88</v>
      </c>
      <c r="H7" s="7">
        <v>0</v>
      </c>
      <c r="I7" s="7">
        <v>1</v>
      </c>
      <c r="J7" s="9">
        <f t="shared" si="0"/>
        <v>1</v>
      </c>
      <c r="K7" s="9">
        <f t="shared" si="1"/>
        <v>1</v>
      </c>
      <c r="L7" s="9">
        <f t="shared" si="2"/>
        <v>0</v>
      </c>
      <c r="M7" s="9">
        <f t="shared" si="3"/>
        <v>0</v>
      </c>
      <c r="N7" s="9">
        <f t="shared" si="4"/>
        <v>0</v>
      </c>
      <c r="O7" s="9">
        <f t="shared" si="5"/>
        <v>0</v>
      </c>
      <c r="P7" s="9">
        <f t="shared" si="6"/>
        <v>0</v>
      </c>
      <c r="Q7" s="17">
        <f t="shared" si="7"/>
        <v>0</v>
      </c>
      <c r="R7" s="17">
        <f t="shared" si="8"/>
        <v>88</v>
      </c>
      <c r="S7" s="17">
        <f t="shared" si="9"/>
        <v>0</v>
      </c>
      <c r="T7" s="17">
        <f t="shared" si="10"/>
        <v>0</v>
      </c>
      <c r="U7" s="17">
        <f t="shared" si="11"/>
        <v>0</v>
      </c>
      <c r="V7" s="17">
        <f t="shared" si="12"/>
        <v>0</v>
      </c>
      <c r="W7" s="17">
        <f t="shared" si="13"/>
        <v>0</v>
      </c>
      <c r="X7" s="17">
        <f t="shared" si="14"/>
        <v>0</v>
      </c>
      <c r="Y7" s="11"/>
      <c r="Z7" s="11"/>
      <c r="AA7" s="11"/>
      <c r="AB7" s="11"/>
      <c r="AC7" s="11"/>
      <c r="AD7" s="11"/>
      <c r="AE7" s="11"/>
      <c r="AF7" s="11"/>
    </row>
    <row r="8" spans="1:32" ht="15.75" x14ac:dyDescent="0.25">
      <c r="A8" s="18" t="s">
        <v>42</v>
      </c>
      <c r="B8" s="6">
        <v>7</v>
      </c>
      <c r="C8" s="6">
        <v>1</v>
      </c>
      <c r="D8" s="6">
        <v>0</v>
      </c>
      <c r="E8" s="6">
        <v>0</v>
      </c>
      <c r="F8" s="6">
        <v>0</v>
      </c>
      <c r="G8" s="3">
        <v>101</v>
      </c>
      <c r="H8" s="7">
        <v>1</v>
      </c>
      <c r="I8" s="7">
        <v>0</v>
      </c>
      <c r="J8" s="9">
        <f t="shared" si="0"/>
        <v>1</v>
      </c>
      <c r="K8" s="9">
        <f t="shared" si="1"/>
        <v>1</v>
      </c>
      <c r="L8" s="9">
        <f t="shared" si="2"/>
        <v>0</v>
      </c>
      <c r="M8" s="9">
        <f t="shared" si="3"/>
        <v>1</v>
      </c>
      <c r="N8" s="9">
        <f t="shared" si="4"/>
        <v>0</v>
      </c>
      <c r="O8" s="9">
        <f t="shared" si="5"/>
        <v>0</v>
      </c>
      <c r="P8" s="9">
        <f t="shared" si="6"/>
        <v>0</v>
      </c>
      <c r="Q8" s="17">
        <f t="shared" si="7"/>
        <v>101</v>
      </c>
      <c r="R8" s="17">
        <f t="shared" si="8"/>
        <v>0</v>
      </c>
      <c r="S8" s="17">
        <f t="shared" si="9"/>
        <v>0</v>
      </c>
      <c r="T8" s="17">
        <f t="shared" si="10"/>
        <v>0</v>
      </c>
      <c r="U8" s="17">
        <f t="shared" si="11"/>
        <v>0</v>
      </c>
      <c r="V8" s="17">
        <f t="shared" si="12"/>
        <v>0</v>
      </c>
      <c r="W8" s="17">
        <f t="shared" si="13"/>
        <v>0</v>
      </c>
      <c r="X8" s="17">
        <f t="shared" si="14"/>
        <v>0</v>
      </c>
      <c r="Y8" s="11"/>
      <c r="Z8" s="11"/>
      <c r="AA8" s="11"/>
      <c r="AB8" s="11"/>
      <c r="AC8" s="11"/>
      <c r="AD8" s="11"/>
      <c r="AE8" s="11"/>
      <c r="AF8" s="11"/>
    </row>
    <row r="9" spans="1:32" ht="15.75" x14ac:dyDescent="0.25">
      <c r="A9" s="18" t="s">
        <v>0</v>
      </c>
      <c r="B9" s="6">
        <v>8</v>
      </c>
      <c r="C9" s="6">
        <v>1</v>
      </c>
      <c r="D9" s="6">
        <v>0</v>
      </c>
      <c r="E9" s="6">
        <v>0</v>
      </c>
      <c r="F9" s="6">
        <v>0</v>
      </c>
      <c r="G9" s="3">
        <v>121</v>
      </c>
      <c r="H9" s="7">
        <v>1</v>
      </c>
      <c r="I9" s="7">
        <v>0</v>
      </c>
      <c r="J9" s="9">
        <f t="shared" si="0"/>
        <v>1</v>
      </c>
      <c r="K9" s="9">
        <f t="shared" si="1"/>
        <v>1</v>
      </c>
      <c r="L9" s="9">
        <f t="shared" si="2"/>
        <v>0</v>
      </c>
      <c r="M9" s="9">
        <f t="shared" si="3"/>
        <v>1</v>
      </c>
      <c r="N9" s="9">
        <f t="shared" si="4"/>
        <v>0</v>
      </c>
      <c r="O9" s="9">
        <f t="shared" si="5"/>
        <v>0</v>
      </c>
      <c r="P9" s="9">
        <f t="shared" si="6"/>
        <v>0</v>
      </c>
      <c r="Q9" s="17">
        <f t="shared" si="7"/>
        <v>121</v>
      </c>
      <c r="R9" s="17">
        <f t="shared" si="8"/>
        <v>0</v>
      </c>
      <c r="S9" s="17">
        <f t="shared" si="9"/>
        <v>0</v>
      </c>
      <c r="T9" s="17">
        <f t="shared" si="10"/>
        <v>0</v>
      </c>
      <c r="U9" s="17">
        <f t="shared" si="11"/>
        <v>0</v>
      </c>
      <c r="V9" s="17">
        <f t="shared" si="12"/>
        <v>0</v>
      </c>
      <c r="W9" s="17">
        <f t="shared" si="13"/>
        <v>0</v>
      </c>
      <c r="X9" s="17">
        <f t="shared" si="14"/>
        <v>0</v>
      </c>
      <c r="Y9" s="11"/>
      <c r="Z9" s="11"/>
      <c r="AA9" s="11"/>
      <c r="AB9" s="11"/>
      <c r="AC9" s="11"/>
      <c r="AD9" s="11"/>
      <c r="AE9" s="11"/>
      <c r="AF9" s="11"/>
    </row>
    <row r="10" spans="1:32" ht="15" customHeight="1" x14ac:dyDescent="0.25">
      <c r="A10" s="19" t="s">
        <v>8</v>
      </c>
      <c r="B10" s="6">
        <v>9</v>
      </c>
      <c r="C10" s="6">
        <v>0</v>
      </c>
      <c r="D10" s="6">
        <v>1</v>
      </c>
      <c r="E10" s="6">
        <v>0</v>
      </c>
      <c r="F10" s="6">
        <v>0</v>
      </c>
      <c r="G10" s="3">
        <v>91</v>
      </c>
      <c r="H10" s="7">
        <v>1</v>
      </c>
      <c r="I10" s="7">
        <v>0</v>
      </c>
      <c r="J10" s="9">
        <f t="shared" si="0"/>
        <v>1</v>
      </c>
      <c r="K10" s="9">
        <f t="shared" si="1"/>
        <v>1</v>
      </c>
      <c r="L10" s="9">
        <f t="shared" si="2"/>
        <v>0</v>
      </c>
      <c r="M10" s="9">
        <f t="shared" si="3"/>
        <v>0</v>
      </c>
      <c r="N10" s="9">
        <f t="shared" si="4"/>
        <v>1</v>
      </c>
      <c r="O10" s="9">
        <f t="shared" si="5"/>
        <v>0</v>
      </c>
      <c r="P10" s="9">
        <f t="shared" si="6"/>
        <v>0</v>
      </c>
      <c r="Q10" s="15">
        <f t="shared" si="7"/>
        <v>0</v>
      </c>
      <c r="R10" s="15">
        <f t="shared" si="8"/>
        <v>0</v>
      </c>
      <c r="S10" s="15">
        <f t="shared" si="9"/>
        <v>91</v>
      </c>
      <c r="T10" s="15">
        <f t="shared" si="10"/>
        <v>0</v>
      </c>
      <c r="U10" s="15">
        <f t="shared" si="11"/>
        <v>0</v>
      </c>
      <c r="V10" s="15">
        <f t="shared" si="12"/>
        <v>0</v>
      </c>
      <c r="W10" s="15">
        <f t="shared" si="13"/>
        <v>0</v>
      </c>
      <c r="X10" s="15">
        <f t="shared" si="14"/>
        <v>0</v>
      </c>
      <c r="Y10" s="11"/>
      <c r="Z10" s="11"/>
      <c r="AA10" s="11"/>
      <c r="AB10" s="11"/>
      <c r="AC10" s="11"/>
      <c r="AD10" s="11"/>
      <c r="AE10" s="11"/>
      <c r="AF10" s="11"/>
    </row>
    <row r="11" spans="1:32" ht="15.75" x14ac:dyDescent="0.25">
      <c r="A11" s="19" t="s">
        <v>17</v>
      </c>
      <c r="B11" s="6">
        <v>10</v>
      </c>
      <c r="C11" s="6">
        <v>0</v>
      </c>
      <c r="D11" s="6">
        <v>1</v>
      </c>
      <c r="E11" s="6">
        <v>0</v>
      </c>
      <c r="F11" s="6">
        <v>0</v>
      </c>
      <c r="G11" s="3">
        <v>100</v>
      </c>
      <c r="H11" s="7">
        <v>1</v>
      </c>
      <c r="I11" s="7">
        <v>0</v>
      </c>
      <c r="J11" s="9">
        <f t="shared" si="0"/>
        <v>1</v>
      </c>
      <c r="K11" s="9">
        <f t="shared" si="1"/>
        <v>1</v>
      </c>
      <c r="L11" s="9">
        <f t="shared" si="2"/>
        <v>0</v>
      </c>
      <c r="M11" s="9">
        <f t="shared" si="3"/>
        <v>0</v>
      </c>
      <c r="N11" s="9">
        <f t="shared" si="4"/>
        <v>1</v>
      </c>
      <c r="O11" s="9">
        <f t="shared" si="5"/>
        <v>0</v>
      </c>
      <c r="P11" s="9">
        <f t="shared" si="6"/>
        <v>0</v>
      </c>
      <c r="Q11" s="15">
        <f t="shared" si="7"/>
        <v>0</v>
      </c>
      <c r="R11" s="15">
        <f t="shared" si="8"/>
        <v>0</v>
      </c>
      <c r="S11" s="15">
        <f t="shared" si="9"/>
        <v>100</v>
      </c>
      <c r="T11" s="15">
        <f t="shared" si="10"/>
        <v>0</v>
      </c>
      <c r="U11" s="15">
        <f t="shared" si="11"/>
        <v>0</v>
      </c>
      <c r="V11" s="15">
        <f t="shared" si="12"/>
        <v>0</v>
      </c>
      <c r="W11" s="15">
        <f t="shared" si="13"/>
        <v>0</v>
      </c>
      <c r="X11" s="15">
        <f t="shared" si="14"/>
        <v>0</v>
      </c>
      <c r="Y11" s="11"/>
      <c r="Z11" s="11"/>
      <c r="AA11" s="11"/>
      <c r="AB11" s="11"/>
      <c r="AC11" s="11"/>
      <c r="AD11" s="11"/>
      <c r="AE11" s="11"/>
      <c r="AF11" s="11"/>
    </row>
    <row r="12" spans="1:32" ht="15.75" x14ac:dyDescent="0.25">
      <c r="A12" s="19" t="s">
        <v>11</v>
      </c>
      <c r="B12" s="6">
        <v>11</v>
      </c>
      <c r="C12" s="6">
        <v>0</v>
      </c>
      <c r="D12" s="6">
        <v>1</v>
      </c>
      <c r="E12" s="6">
        <v>0</v>
      </c>
      <c r="F12" s="6">
        <v>0</v>
      </c>
      <c r="G12" s="3">
        <v>102</v>
      </c>
      <c r="H12" s="7">
        <v>1</v>
      </c>
      <c r="I12" s="7">
        <v>0</v>
      </c>
      <c r="J12" s="9">
        <f t="shared" si="0"/>
        <v>1</v>
      </c>
      <c r="K12" s="9">
        <f t="shared" si="1"/>
        <v>1</v>
      </c>
      <c r="L12" s="9">
        <f t="shared" si="2"/>
        <v>0</v>
      </c>
      <c r="M12" s="9">
        <f t="shared" si="3"/>
        <v>0</v>
      </c>
      <c r="N12" s="9">
        <f t="shared" si="4"/>
        <v>1</v>
      </c>
      <c r="O12" s="9">
        <f t="shared" si="5"/>
        <v>0</v>
      </c>
      <c r="P12" s="9">
        <f t="shared" si="6"/>
        <v>0</v>
      </c>
      <c r="Q12" s="15">
        <f t="shared" si="7"/>
        <v>0</v>
      </c>
      <c r="R12" s="15">
        <f t="shared" si="8"/>
        <v>0</v>
      </c>
      <c r="S12" s="15">
        <f t="shared" si="9"/>
        <v>102</v>
      </c>
      <c r="T12" s="15">
        <f t="shared" si="10"/>
        <v>0</v>
      </c>
      <c r="U12" s="15">
        <f t="shared" si="11"/>
        <v>0</v>
      </c>
      <c r="V12" s="15">
        <f t="shared" si="12"/>
        <v>0</v>
      </c>
      <c r="W12" s="15">
        <f t="shared" si="13"/>
        <v>0</v>
      </c>
      <c r="X12" s="15">
        <f t="shared" si="14"/>
        <v>0</v>
      </c>
      <c r="Y12" s="11"/>
      <c r="Z12" s="11"/>
      <c r="AA12" s="11"/>
      <c r="AB12" s="11"/>
      <c r="AC12" s="11"/>
      <c r="AD12" s="11"/>
      <c r="AE12" s="11"/>
      <c r="AF12" s="11"/>
    </row>
    <row r="13" spans="1:32" ht="15.75" x14ac:dyDescent="0.25">
      <c r="A13" s="19" t="s">
        <v>3</v>
      </c>
      <c r="B13" s="6">
        <v>12</v>
      </c>
      <c r="C13" s="6">
        <v>0</v>
      </c>
      <c r="D13" s="6">
        <v>1</v>
      </c>
      <c r="E13" s="6">
        <v>0</v>
      </c>
      <c r="F13" s="6">
        <v>0</v>
      </c>
      <c r="G13" s="3">
        <v>77</v>
      </c>
      <c r="H13" s="7">
        <v>0</v>
      </c>
      <c r="I13" s="7">
        <v>0</v>
      </c>
      <c r="J13" s="9">
        <f t="shared" si="0"/>
        <v>0</v>
      </c>
      <c r="K13" s="9">
        <f t="shared" si="1"/>
        <v>0</v>
      </c>
      <c r="L13" s="9">
        <f t="shared" si="2"/>
        <v>0</v>
      </c>
      <c r="M13" s="9">
        <f t="shared" si="3"/>
        <v>0</v>
      </c>
      <c r="N13" s="9">
        <f t="shared" si="4"/>
        <v>0</v>
      </c>
      <c r="O13" s="9">
        <f t="shared" si="5"/>
        <v>0</v>
      </c>
      <c r="P13" s="9">
        <f t="shared" si="6"/>
        <v>0</v>
      </c>
      <c r="Q13" s="15">
        <f t="shared" si="7"/>
        <v>0</v>
      </c>
      <c r="R13" s="15">
        <f t="shared" si="8"/>
        <v>0</v>
      </c>
      <c r="S13" s="15">
        <f t="shared" si="9"/>
        <v>0</v>
      </c>
      <c r="T13" s="15">
        <f t="shared" si="10"/>
        <v>0</v>
      </c>
      <c r="U13" s="15">
        <f t="shared" si="11"/>
        <v>0</v>
      </c>
      <c r="V13" s="15">
        <f t="shared" si="12"/>
        <v>0</v>
      </c>
      <c r="W13" s="15">
        <f t="shared" si="13"/>
        <v>0</v>
      </c>
      <c r="X13" s="15">
        <f t="shared" si="14"/>
        <v>0</v>
      </c>
      <c r="Y13" s="11"/>
      <c r="Z13" s="11"/>
      <c r="AA13" s="11"/>
      <c r="AB13" s="11"/>
      <c r="AC13" s="11"/>
      <c r="AD13" s="11"/>
      <c r="AE13" s="11"/>
      <c r="AF13" s="11"/>
    </row>
    <row r="14" spans="1:32" ht="15.75" x14ac:dyDescent="0.25">
      <c r="A14" s="19" t="s">
        <v>15</v>
      </c>
      <c r="B14" s="6">
        <v>13</v>
      </c>
      <c r="C14" s="6">
        <v>0</v>
      </c>
      <c r="D14" s="6">
        <v>1</v>
      </c>
      <c r="E14" s="6">
        <v>0</v>
      </c>
      <c r="F14" s="6">
        <v>0</v>
      </c>
      <c r="G14" s="3">
        <v>88</v>
      </c>
      <c r="H14" s="7">
        <v>0</v>
      </c>
      <c r="I14" s="7">
        <v>0</v>
      </c>
      <c r="J14" s="9">
        <f t="shared" si="0"/>
        <v>0</v>
      </c>
      <c r="K14" s="9">
        <f t="shared" si="1"/>
        <v>0</v>
      </c>
      <c r="L14" s="9">
        <f t="shared" si="2"/>
        <v>0</v>
      </c>
      <c r="M14" s="9">
        <f t="shared" si="3"/>
        <v>0</v>
      </c>
      <c r="N14" s="9">
        <f t="shared" si="4"/>
        <v>0</v>
      </c>
      <c r="O14" s="9">
        <f t="shared" si="5"/>
        <v>0</v>
      </c>
      <c r="P14" s="9">
        <f t="shared" si="6"/>
        <v>0</v>
      </c>
      <c r="Q14" s="15">
        <f t="shared" si="7"/>
        <v>0</v>
      </c>
      <c r="R14" s="15">
        <f t="shared" si="8"/>
        <v>0</v>
      </c>
      <c r="S14" s="15">
        <f t="shared" si="9"/>
        <v>0</v>
      </c>
      <c r="T14" s="15">
        <f t="shared" si="10"/>
        <v>0</v>
      </c>
      <c r="U14" s="15">
        <f t="shared" si="11"/>
        <v>0</v>
      </c>
      <c r="V14" s="15">
        <f t="shared" si="12"/>
        <v>0</v>
      </c>
      <c r="W14" s="15">
        <f t="shared" si="13"/>
        <v>0</v>
      </c>
      <c r="X14" s="15">
        <f t="shared" si="14"/>
        <v>0</v>
      </c>
      <c r="Y14" s="11"/>
      <c r="Z14" s="11"/>
      <c r="AA14" s="11"/>
      <c r="AB14" s="11"/>
      <c r="AC14" s="11"/>
      <c r="AD14" s="11"/>
      <c r="AE14" s="11"/>
      <c r="AF14" s="11"/>
    </row>
    <row r="15" spans="1:32" ht="15.75" x14ac:dyDescent="0.25">
      <c r="A15" s="19" t="s">
        <v>14</v>
      </c>
      <c r="B15" s="6">
        <v>14</v>
      </c>
      <c r="C15" s="6">
        <v>0</v>
      </c>
      <c r="D15" s="6">
        <v>1</v>
      </c>
      <c r="E15" s="6">
        <v>0</v>
      </c>
      <c r="F15" s="6">
        <v>0</v>
      </c>
      <c r="G15" s="3">
        <v>94</v>
      </c>
      <c r="H15" s="7">
        <v>0</v>
      </c>
      <c r="I15" s="7">
        <v>1</v>
      </c>
      <c r="J15" s="9">
        <f t="shared" si="0"/>
        <v>1</v>
      </c>
      <c r="K15" s="9">
        <f t="shared" si="1"/>
        <v>1</v>
      </c>
      <c r="L15" s="9">
        <f t="shared" si="2"/>
        <v>0</v>
      </c>
      <c r="M15" s="9">
        <f t="shared" si="3"/>
        <v>0</v>
      </c>
      <c r="N15" s="9">
        <f t="shared" si="4"/>
        <v>0</v>
      </c>
      <c r="O15" s="9">
        <f t="shared" si="5"/>
        <v>0</v>
      </c>
      <c r="P15" s="9">
        <f t="shared" si="6"/>
        <v>0</v>
      </c>
      <c r="Q15" s="15">
        <f t="shared" si="7"/>
        <v>0</v>
      </c>
      <c r="R15" s="15">
        <f t="shared" si="8"/>
        <v>0</v>
      </c>
      <c r="S15" s="15">
        <f t="shared" si="9"/>
        <v>0</v>
      </c>
      <c r="T15" s="15">
        <f t="shared" si="10"/>
        <v>94</v>
      </c>
      <c r="U15" s="15">
        <f t="shared" si="11"/>
        <v>0</v>
      </c>
      <c r="V15" s="15">
        <f t="shared" si="12"/>
        <v>0</v>
      </c>
      <c r="W15" s="15">
        <f t="shared" si="13"/>
        <v>0</v>
      </c>
      <c r="X15" s="15">
        <f t="shared" si="14"/>
        <v>0</v>
      </c>
      <c r="Y15" s="11"/>
      <c r="Z15" s="11"/>
      <c r="AA15" s="11"/>
      <c r="AB15" s="11"/>
      <c r="AC15" s="11"/>
      <c r="AD15" s="11"/>
      <c r="AE15" s="11"/>
      <c r="AF15" s="11"/>
    </row>
    <row r="16" spans="1:32" ht="15.75" x14ac:dyDescent="0.25">
      <c r="A16" s="19" t="s">
        <v>7</v>
      </c>
      <c r="B16" s="6">
        <v>15</v>
      </c>
      <c r="C16" s="6">
        <v>0</v>
      </c>
      <c r="D16" s="6">
        <v>1</v>
      </c>
      <c r="E16" s="6">
        <v>0</v>
      </c>
      <c r="F16" s="6">
        <v>0</v>
      </c>
      <c r="G16" s="3">
        <v>80</v>
      </c>
      <c r="H16" s="7">
        <v>0</v>
      </c>
      <c r="I16" s="7">
        <v>0</v>
      </c>
      <c r="J16" s="9">
        <f t="shared" si="0"/>
        <v>0</v>
      </c>
      <c r="K16" s="9">
        <f t="shared" si="1"/>
        <v>0</v>
      </c>
      <c r="L16" s="9">
        <f t="shared" si="2"/>
        <v>0</v>
      </c>
      <c r="M16" s="9">
        <f t="shared" si="3"/>
        <v>0</v>
      </c>
      <c r="N16" s="9">
        <f t="shared" si="4"/>
        <v>0</v>
      </c>
      <c r="O16" s="9">
        <f t="shared" si="5"/>
        <v>0</v>
      </c>
      <c r="P16" s="9">
        <f t="shared" si="6"/>
        <v>0</v>
      </c>
      <c r="Q16" s="15">
        <f t="shared" si="7"/>
        <v>0</v>
      </c>
      <c r="R16" s="15">
        <f t="shared" si="8"/>
        <v>0</v>
      </c>
      <c r="S16" s="15">
        <f t="shared" si="9"/>
        <v>0</v>
      </c>
      <c r="T16" s="15">
        <f t="shared" si="10"/>
        <v>0</v>
      </c>
      <c r="U16" s="15">
        <f t="shared" si="11"/>
        <v>0</v>
      </c>
      <c r="V16" s="15">
        <f t="shared" si="12"/>
        <v>0</v>
      </c>
      <c r="W16" s="15">
        <f t="shared" si="13"/>
        <v>0</v>
      </c>
      <c r="X16" s="15">
        <f t="shared" si="14"/>
        <v>0</v>
      </c>
      <c r="Y16" s="11"/>
      <c r="Z16" s="11"/>
      <c r="AA16" s="11"/>
      <c r="AB16" s="11"/>
      <c r="AC16" s="11"/>
      <c r="AD16" s="11"/>
      <c r="AE16" s="11"/>
      <c r="AF16" s="11"/>
    </row>
    <row r="17" spans="1:32" ht="15.75" x14ac:dyDescent="0.25">
      <c r="A17" s="19" t="s">
        <v>24</v>
      </c>
      <c r="B17" s="6">
        <v>16</v>
      </c>
      <c r="C17" s="6">
        <v>0</v>
      </c>
      <c r="D17" s="6">
        <v>1</v>
      </c>
      <c r="E17" s="6">
        <v>0</v>
      </c>
      <c r="F17" s="6">
        <v>0</v>
      </c>
      <c r="G17" s="3">
        <v>74</v>
      </c>
      <c r="H17" s="7">
        <v>0</v>
      </c>
      <c r="I17" s="7">
        <v>0</v>
      </c>
      <c r="J17" s="9">
        <f t="shared" si="0"/>
        <v>0</v>
      </c>
      <c r="K17" s="9">
        <f t="shared" si="1"/>
        <v>0</v>
      </c>
      <c r="L17" s="9">
        <f t="shared" si="2"/>
        <v>0</v>
      </c>
      <c r="M17" s="9">
        <f t="shared" si="3"/>
        <v>0</v>
      </c>
      <c r="N17" s="9">
        <f t="shared" si="4"/>
        <v>0</v>
      </c>
      <c r="O17" s="9">
        <f t="shared" si="5"/>
        <v>0</v>
      </c>
      <c r="P17" s="9">
        <f t="shared" si="6"/>
        <v>0</v>
      </c>
      <c r="Q17" s="15">
        <f t="shared" si="7"/>
        <v>0</v>
      </c>
      <c r="R17" s="15">
        <f t="shared" si="8"/>
        <v>0</v>
      </c>
      <c r="S17" s="15">
        <f t="shared" si="9"/>
        <v>0</v>
      </c>
      <c r="T17" s="15">
        <f t="shared" si="10"/>
        <v>0</v>
      </c>
      <c r="U17" s="15">
        <f t="shared" si="11"/>
        <v>0</v>
      </c>
      <c r="V17" s="15">
        <f t="shared" si="12"/>
        <v>0</v>
      </c>
      <c r="W17" s="15">
        <f t="shared" si="13"/>
        <v>0</v>
      </c>
      <c r="X17" s="15">
        <f t="shared" si="14"/>
        <v>0</v>
      </c>
      <c r="Y17" s="11"/>
      <c r="Z17" s="11"/>
      <c r="AA17" s="11"/>
      <c r="AB17" s="11"/>
      <c r="AC17" s="11"/>
      <c r="AD17" s="11"/>
      <c r="AE17" s="11"/>
      <c r="AF17" s="11"/>
    </row>
    <row r="18" spans="1:32" ht="15.75" x14ac:dyDescent="0.25">
      <c r="A18" s="20" t="s">
        <v>4</v>
      </c>
      <c r="B18" s="6">
        <v>17</v>
      </c>
      <c r="C18" s="6">
        <v>0</v>
      </c>
      <c r="D18" s="6">
        <v>0</v>
      </c>
      <c r="E18" s="6">
        <v>1</v>
      </c>
      <c r="F18" s="6">
        <v>0</v>
      </c>
      <c r="G18" s="3">
        <v>112</v>
      </c>
      <c r="H18" s="7">
        <v>1</v>
      </c>
      <c r="I18" s="7">
        <v>0</v>
      </c>
      <c r="J18" s="9">
        <f t="shared" si="0"/>
        <v>1</v>
      </c>
      <c r="K18" s="9">
        <f t="shared" si="1"/>
        <v>0</v>
      </c>
      <c r="L18" s="9">
        <f t="shared" si="2"/>
        <v>1</v>
      </c>
      <c r="M18" s="9">
        <f t="shared" si="3"/>
        <v>0</v>
      </c>
      <c r="N18" s="9">
        <f t="shared" si="4"/>
        <v>0</v>
      </c>
      <c r="O18" s="9">
        <f t="shared" si="5"/>
        <v>1</v>
      </c>
      <c r="P18" s="9">
        <f t="shared" si="6"/>
        <v>0</v>
      </c>
      <c r="Q18" s="16">
        <f t="shared" si="7"/>
        <v>0</v>
      </c>
      <c r="R18" s="16">
        <f t="shared" si="8"/>
        <v>0</v>
      </c>
      <c r="S18" s="16">
        <f t="shared" si="9"/>
        <v>0</v>
      </c>
      <c r="T18" s="16">
        <f t="shared" si="10"/>
        <v>0</v>
      </c>
      <c r="U18" s="16">
        <f t="shared" si="11"/>
        <v>112</v>
      </c>
      <c r="V18" s="16">
        <f t="shared" si="12"/>
        <v>0</v>
      </c>
      <c r="W18" s="16">
        <f t="shared" si="13"/>
        <v>0</v>
      </c>
      <c r="X18" s="16">
        <f t="shared" si="14"/>
        <v>0</v>
      </c>
      <c r="Y18" s="11"/>
      <c r="Z18" s="11"/>
      <c r="AA18" s="11"/>
      <c r="AB18" s="11"/>
      <c r="AC18" s="11"/>
      <c r="AD18" s="11"/>
      <c r="AE18" s="11"/>
      <c r="AF18" s="11"/>
    </row>
    <row r="19" spans="1:32" ht="15.75" x14ac:dyDescent="0.25">
      <c r="A19" s="20" t="s">
        <v>12</v>
      </c>
      <c r="B19" s="6">
        <v>18</v>
      </c>
      <c r="C19" s="6">
        <v>0</v>
      </c>
      <c r="D19" s="6">
        <v>0</v>
      </c>
      <c r="E19" s="6">
        <v>1</v>
      </c>
      <c r="F19" s="6">
        <v>0</v>
      </c>
      <c r="G19" s="3">
        <v>95</v>
      </c>
      <c r="H19" s="7">
        <v>1</v>
      </c>
      <c r="I19" s="7">
        <v>0</v>
      </c>
      <c r="J19" s="9">
        <f t="shared" si="0"/>
        <v>1</v>
      </c>
      <c r="K19" s="9">
        <f t="shared" si="1"/>
        <v>0</v>
      </c>
      <c r="L19" s="9">
        <f t="shared" si="2"/>
        <v>1</v>
      </c>
      <c r="M19" s="9">
        <f t="shared" si="3"/>
        <v>0</v>
      </c>
      <c r="N19" s="9">
        <f t="shared" si="4"/>
        <v>0</v>
      </c>
      <c r="O19" s="9">
        <f t="shared" si="5"/>
        <v>1</v>
      </c>
      <c r="P19" s="9">
        <f t="shared" si="6"/>
        <v>0</v>
      </c>
      <c r="Q19" s="16">
        <f t="shared" si="7"/>
        <v>0</v>
      </c>
      <c r="R19" s="16">
        <f t="shared" si="8"/>
        <v>0</v>
      </c>
      <c r="S19" s="16">
        <f t="shared" si="9"/>
        <v>0</v>
      </c>
      <c r="T19" s="16">
        <f t="shared" si="10"/>
        <v>0</v>
      </c>
      <c r="U19" s="16">
        <f t="shared" si="11"/>
        <v>95</v>
      </c>
      <c r="V19" s="16">
        <f t="shared" si="12"/>
        <v>0</v>
      </c>
      <c r="W19" s="16">
        <f t="shared" si="13"/>
        <v>0</v>
      </c>
      <c r="X19" s="16">
        <f t="shared" si="14"/>
        <v>0</v>
      </c>
      <c r="Y19" s="11"/>
      <c r="Z19" s="11"/>
      <c r="AA19" s="11"/>
      <c r="AB19" s="11"/>
      <c r="AC19" s="11"/>
      <c r="AD19" s="11"/>
      <c r="AE19" s="11"/>
      <c r="AF19" s="11"/>
    </row>
    <row r="20" spans="1:32" ht="15.75" x14ac:dyDescent="0.25">
      <c r="A20" s="20" t="s">
        <v>1</v>
      </c>
      <c r="B20" s="6">
        <v>19</v>
      </c>
      <c r="C20" s="6">
        <v>0</v>
      </c>
      <c r="D20" s="6">
        <v>0</v>
      </c>
      <c r="E20" s="6">
        <v>1</v>
      </c>
      <c r="F20" s="6">
        <v>0</v>
      </c>
      <c r="G20" s="3">
        <v>88</v>
      </c>
      <c r="H20" s="7">
        <v>0</v>
      </c>
      <c r="I20" s="7">
        <v>0</v>
      </c>
      <c r="J20" s="9">
        <f t="shared" si="0"/>
        <v>0</v>
      </c>
      <c r="K20" s="9">
        <f t="shared" si="1"/>
        <v>0</v>
      </c>
      <c r="L20" s="9">
        <f t="shared" si="2"/>
        <v>0</v>
      </c>
      <c r="M20" s="9">
        <f t="shared" si="3"/>
        <v>0</v>
      </c>
      <c r="N20" s="9">
        <f t="shared" si="4"/>
        <v>0</v>
      </c>
      <c r="O20" s="9">
        <f t="shared" si="5"/>
        <v>0</v>
      </c>
      <c r="P20" s="9">
        <f t="shared" si="6"/>
        <v>0</v>
      </c>
      <c r="Q20" s="16">
        <f t="shared" si="7"/>
        <v>0</v>
      </c>
      <c r="R20" s="16">
        <f t="shared" si="8"/>
        <v>0</v>
      </c>
      <c r="S20" s="16">
        <f t="shared" si="9"/>
        <v>0</v>
      </c>
      <c r="T20" s="16">
        <f t="shared" si="10"/>
        <v>0</v>
      </c>
      <c r="U20" s="16">
        <f t="shared" si="11"/>
        <v>0</v>
      </c>
      <c r="V20" s="16">
        <f t="shared" si="12"/>
        <v>0</v>
      </c>
      <c r="W20" s="16">
        <f t="shared" si="13"/>
        <v>0</v>
      </c>
      <c r="X20" s="16">
        <f t="shared" si="14"/>
        <v>0</v>
      </c>
      <c r="Y20" s="11"/>
      <c r="Z20" s="11"/>
      <c r="AA20" s="11"/>
      <c r="AB20" s="11"/>
      <c r="AC20" s="11"/>
      <c r="AD20" s="11"/>
      <c r="AE20" s="11"/>
      <c r="AF20" s="11"/>
    </row>
    <row r="21" spans="1:32" ht="15.75" x14ac:dyDescent="0.25">
      <c r="A21" s="20" t="s">
        <v>13</v>
      </c>
      <c r="B21" s="6">
        <v>20</v>
      </c>
      <c r="C21" s="6">
        <v>0</v>
      </c>
      <c r="D21" s="6">
        <v>0</v>
      </c>
      <c r="E21" s="6">
        <v>1</v>
      </c>
      <c r="F21" s="6">
        <v>0</v>
      </c>
      <c r="G21" s="3">
        <v>84</v>
      </c>
      <c r="H21" s="7">
        <v>0</v>
      </c>
      <c r="I21" s="7">
        <v>0</v>
      </c>
      <c r="J21" s="9">
        <f t="shared" si="0"/>
        <v>0</v>
      </c>
      <c r="K21" s="9">
        <f t="shared" si="1"/>
        <v>0</v>
      </c>
      <c r="L21" s="9">
        <f t="shared" si="2"/>
        <v>0</v>
      </c>
      <c r="M21" s="9">
        <f t="shared" si="3"/>
        <v>0</v>
      </c>
      <c r="N21" s="9">
        <f t="shared" si="4"/>
        <v>0</v>
      </c>
      <c r="O21" s="9">
        <f t="shared" si="5"/>
        <v>0</v>
      </c>
      <c r="P21" s="9">
        <f t="shared" si="6"/>
        <v>0</v>
      </c>
      <c r="Q21" s="16">
        <f t="shared" si="7"/>
        <v>0</v>
      </c>
      <c r="R21" s="16">
        <f t="shared" si="8"/>
        <v>0</v>
      </c>
      <c r="S21" s="16">
        <f t="shared" si="9"/>
        <v>0</v>
      </c>
      <c r="T21" s="16">
        <f t="shared" si="10"/>
        <v>0</v>
      </c>
      <c r="U21" s="16">
        <f t="shared" si="11"/>
        <v>0</v>
      </c>
      <c r="V21" s="16">
        <f t="shared" si="12"/>
        <v>0</v>
      </c>
      <c r="W21" s="16">
        <f t="shared" si="13"/>
        <v>0</v>
      </c>
      <c r="X21" s="16">
        <f t="shared" si="14"/>
        <v>0</v>
      </c>
      <c r="Y21" s="11"/>
      <c r="Z21" s="11"/>
      <c r="AA21" s="11"/>
      <c r="AB21" s="11"/>
      <c r="AC21" s="11"/>
      <c r="AD21" s="11"/>
      <c r="AE21" s="11"/>
      <c r="AF21" s="11"/>
    </row>
    <row r="22" spans="1:32" ht="15.75" x14ac:dyDescent="0.25">
      <c r="A22" s="20" t="s">
        <v>10</v>
      </c>
      <c r="B22" s="6">
        <v>21</v>
      </c>
      <c r="C22" s="6">
        <v>0</v>
      </c>
      <c r="D22" s="6">
        <v>0</v>
      </c>
      <c r="E22" s="6">
        <v>1</v>
      </c>
      <c r="F22" s="6">
        <v>0</v>
      </c>
      <c r="G22" s="3">
        <v>100</v>
      </c>
      <c r="H22" s="7">
        <v>1</v>
      </c>
      <c r="I22" s="7">
        <v>0</v>
      </c>
      <c r="J22" s="9">
        <f t="shared" si="0"/>
        <v>1</v>
      </c>
      <c r="K22" s="9">
        <f t="shared" si="1"/>
        <v>0</v>
      </c>
      <c r="L22" s="9">
        <f t="shared" si="2"/>
        <v>1</v>
      </c>
      <c r="M22" s="9">
        <f t="shared" si="3"/>
        <v>0</v>
      </c>
      <c r="N22" s="9">
        <f t="shared" si="4"/>
        <v>0</v>
      </c>
      <c r="O22" s="9">
        <f t="shared" si="5"/>
        <v>1</v>
      </c>
      <c r="P22" s="9">
        <f t="shared" si="6"/>
        <v>0</v>
      </c>
      <c r="Q22" s="16">
        <f t="shared" si="7"/>
        <v>0</v>
      </c>
      <c r="R22" s="16">
        <f t="shared" si="8"/>
        <v>0</v>
      </c>
      <c r="S22" s="16">
        <f t="shared" si="9"/>
        <v>0</v>
      </c>
      <c r="T22" s="16">
        <f t="shared" si="10"/>
        <v>0</v>
      </c>
      <c r="U22" s="16">
        <f t="shared" si="11"/>
        <v>100</v>
      </c>
      <c r="V22" s="16">
        <f t="shared" si="12"/>
        <v>0</v>
      </c>
      <c r="W22" s="16">
        <f t="shared" si="13"/>
        <v>0</v>
      </c>
      <c r="X22" s="16">
        <f t="shared" si="14"/>
        <v>0</v>
      </c>
      <c r="Y22" s="11"/>
      <c r="Z22" s="11"/>
      <c r="AA22" s="11"/>
      <c r="AB22" s="11"/>
      <c r="AC22" s="11"/>
      <c r="AD22" s="11"/>
      <c r="AE22" s="11"/>
      <c r="AF22" s="11"/>
    </row>
    <row r="23" spans="1:32" ht="15.75" x14ac:dyDescent="0.25">
      <c r="A23" s="20" t="s">
        <v>2</v>
      </c>
      <c r="B23" s="6">
        <v>22</v>
      </c>
      <c r="C23" s="6">
        <v>0</v>
      </c>
      <c r="D23" s="6">
        <v>0</v>
      </c>
      <c r="E23" s="6">
        <v>1</v>
      </c>
      <c r="F23" s="6">
        <v>0</v>
      </c>
      <c r="G23" s="3">
        <v>90</v>
      </c>
      <c r="H23" s="7">
        <v>0</v>
      </c>
      <c r="I23" s="7">
        <v>0</v>
      </c>
      <c r="J23" s="9">
        <f t="shared" si="0"/>
        <v>0</v>
      </c>
      <c r="K23" s="9">
        <f t="shared" si="1"/>
        <v>0</v>
      </c>
      <c r="L23" s="9">
        <f t="shared" si="2"/>
        <v>0</v>
      </c>
      <c r="M23" s="9">
        <f t="shared" si="3"/>
        <v>0</v>
      </c>
      <c r="N23" s="9">
        <f t="shared" si="4"/>
        <v>0</v>
      </c>
      <c r="O23" s="9">
        <f t="shared" si="5"/>
        <v>0</v>
      </c>
      <c r="P23" s="9">
        <f t="shared" si="6"/>
        <v>0</v>
      </c>
      <c r="Q23" s="16">
        <f t="shared" si="7"/>
        <v>0</v>
      </c>
      <c r="R23" s="16">
        <f t="shared" si="8"/>
        <v>0</v>
      </c>
      <c r="S23" s="16">
        <f t="shared" si="9"/>
        <v>0</v>
      </c>
      <c r="T23" s="16">
        <f t="shared" si="10"/>
        <v>0</v>
      </c>
      <c r="U23" s="16">
        <f t="shared" si="11"/>
        <v>0</v>
      </c>
      <c r="V23" s="16">
        <f t="shared" si="12"/>
        <v>0</v>
      </c>
      <c r="W23" s="16">
        <f t="shared" si="13"/>
        <v>0</v>
      </c>
      <c r="X23" s="16">
        <f t="shared" si="14"/>
        <v>0</v>
      </c>
      <c r="Y23" s="11"/>
      <c r="Z23" s="11"/>
      <c r="AA23" s="11"/>
      <c r="AB23" s="11"/>
      <c r="AC23" s="11"/>
      <c r="AD23" s="11"/>
      <c r="AE23" s="11"/>
      <c r="AF23" s="11"/>
    </row>
    <row r="24" spans="1:32" ht="15.75" x14ac:dyDescent="0.25">
      <c r="A24" s="20" t="s">
        <v>19</v>
      </c>
      <c r="B24" s="6">
        <v>23</v>
      </c>
      <c r="C24" s="6">
        <v>0</v>
      </c>
      <c r="D24" s="6">
        <v>0</v>
      </c>
      <c r="E24" s="6">
        <v>1</v>
      </c>
      <c r="F24" s="6">
        <v>0</v>
      </c>
      <c r="G24" s="3">
        <v>83</v>
      </c>
      <c r="H24" s="7">
        <v>0</v>
      </c>
      <c r="I24" s="7">
        <v>0</v>
      </c>
      <c r="J24" s="9">
        <f t="shared" si="0"/>
        <v>0</v>
      </c>
      <c r="K24" s="9">
        <f t="shared" si="1"/>
        <v>0</v>
      </c>
      <c r="L24" s="9">
        <f t="shared" si="2"/>
        <v>0</v>
      </c>
      <c r="M24" s="9">
        <f t="shared" si="3"/>
        <v>0</v>
      </c>
      <c r="N24" s="9">
        <f t="shared" si="4"/>
        <v>0</v>
      </c>
      <c r="O24" s="9">
        <f t="shared" si="5"/>
        <v>0</v>
      </c>
      <c r="P24" s="9">
        <f t="shared" si="6"/>
        <v>0</v>
      </c>
      <c r="Q24" s="16">
        <f t="shared" si="7"/>
        <v>0</v>
      </c>
      <c r="R24" s="16">
        <f t="shared" si="8"/>
        <v>0</v>
      </c>
      <c r="S24" s="16">
        <f t="shared" si="9"/>
        <v>0</v>
      </c>
      <c r="T24" s="16">
        <f t="shared" si="10"/>
        <v>0</v>
      </c>
      <c r="U24" s="16">
        <f t="shared" si="11"/>
        <v>0</v>
      </c>
      <c r="V24" s="16">
        <f t="shared" si="12"/>
        <v>0</v>
      </c>
      <c r="W24" s="16">
        <f t="shared" si="13"/>
        <v>0</v>
      </c>
      <c r="X24" s="16">
        <f t="shared" si="14"/>
        <v>0</v>
      </c>
      <c r="Y24" s="11"/>
      <c r="Z24" s="11"/>
      <c r="AA24" s="11"/>
      <c r="AB24" s="11"/>
      <c r="AC24" s="11"/>
      <c r="AD24" s="11"/>
      <c r="AE24" s="11"/>
      <c r="AF24" s="11"/>
    </row>
    <row r="25" spans="1:32" ht="15.75" x14ac:dyDescent="0.25">
      <c r="A25" s="21" t="s">
        <v>5</v>
      </c>
      <c r="B25" s="6">
        <v>24</v>
      </c>
      <c r="C25" s="6">
        <v>0</v>
      </c>
      <c r="D25" s="6">
        <v>0</v>
      </c>
      <c r="E25" s="6">
        <v>0</v>
      </c>
      <c r="F25" s="6">
        <v>1</v>
      </c>
      <c r="G25" s="3">
        <v>89</v>
      </c>
      <c r="H25" s="7">
        <v>0</v>
      </c>
      <c r="I25" s="7">
        <v>0</v>
      </c>
      <c r="J25" s="9">
        <f t="shared" si="0"/>
        <v>0</v>
      </c>
      <c r="K25" s="9">
        <f t="shared" si="1"/>
        <v>0</v>
      </c>
      <c r="L25" s="9">
        <f t="shared" si="2"/>
        <v>0</v>
      </c>
      <c r="M25" s="9">
        <f t="shared" si="3"/>
        <v>0</v>
      </c>
      <c r="N25" s="9">
        <f t="shared" si="4"/>
        <v>0</v>
      </c>
      <c r="O25" s="9">
        <f t="shared" si="5"/>
        <v>0</v>
      </c>
      <c r="P25" s="9">
        <f t="shared" si="6"/>
        <v>0</v>
      </c>
      <c r="Q25" s="14">
        <f t="shared" si="7"/>
        <v>0</v>
      </c>
      <c r="R25" s="14">
        <f t="shared" si="8"/>
        <v>0</v>
      </c>
      <c r="S25" s="14">
        <f t="shared" si="9"/>
        <v>0</v>
      </c>
      <c r="T25" s="14">
        <f t="shared" si="10"/>
        <v>0</v>
      </c>
      <c r="U25" s="14">
        <f t="shared" si="11"/>
        <v>0</v>
      </c>
      <c r="V25" s="14">
        <f t="shared" si="12"/>
        <v>0</v>
      </c>
      <c r="W25" s="14">
        <f t="shared" si="13"/>
        <v>0</v>
      </c>
      <c r="X25" s="14">
        <f t="shared" si="14"/>
        <v>0</v>
      </c>
      <c r="Y25" s="11"/>
      <c r="Z25" s="11"/>
      <c r="AA25" s="11"/>
      <c r="AB25" s="11"/>
      <c r="AC25" s="11"/>
      <c r="AD25" s="11"/>
      <c r="AE25" s="11"/>
      <c r="AF25" s="11"/>
    </row>
    <row r="26" spans="1:32" ht="15.75" x14ac:dyDescent="0.25">
      <c r="A26" s="21" t="s">
        <v>18</v>
      </c>
      <c r="B26" s="6">
        <v>25</v>
      </c>
      <c r="C26" s="6">
        <v>0</v>
      </c>
      <c r="D26" s="6">
        <v>0</v>
      </c>
      <c r="E26" s="6">
        <v>0</v>
      </c>
      <c r="F26" s="6">
        <v>1</v>
      </c>
      <c r="G26" s="3">
        <v>107</v>
      </c>
      <c r="H26" s="7">
        <v>1</v>
      </c>
      <c r="I26" s="7">
        <v>0</v>
      </c>
      <c r="J26" s="9">
        <f t="shared" si="0"/>
        <v>1</v>
      </c>
      <c r="K26" s="9">
        <f t="shared" si="1"/>
        <v>0</v>
      </c>
      <c r="L26" s="9">
        <f t="shared" si="2"/>
        <v>1</v>
      </c>
      <c r="M26" s="9">
        <f t="shared" si="3"/>
        <v>0</v>
      </c>
      <c r="N26" s="9">
        <f t="shared" si="4"/>
        <v>0</v>
      </c>
      <c r="O26" s="9">
        <f t="shared" si="5"/>
        <v>0</v>
      </c>
      <c r="P26" s="9">
        <f t="shared" si="6"/>
        <v>1</v>
      </c>
      <c r="Q26" s="14">
        <f t="shared" si="7"/>
        <v>0</v>
      </c>
      <c r="R26" s="14">
        <f t="shared" si="8"/>
        <v>0</v>
      </c>
      <c r="S26" s="14">
        <f t="shared" si="9"/>
        <v>0</v>
      </c>
      <c r="T26" s="14">
        <f t="shared" si="10"/>
        <v>0</v>
      </c>
      <c r="U26" s="14">
        <f t="shared" si="11"/>
        <v>0</v>
      </c>
      <c r="V26" s="14">
        <f t="shared" si="12"/>
        <v>0</v>
      </c>
      <c r="W26" s="14">
        <f t="shared" si="13"/>
        <v>107</v>
      </c>
      <c r="X26" s="14">
        <f t="shared" si="14"/>
        <v>0</v>
      </c>
      <c r="Y26" s="11"/>
      <c r="Z26" s="11"/>
      <c r="AA26" s="11"/>
      <c r="AB26" s="11"/>
      <c r="AC26" s="11"/>
      <c r="AD26" s="11"/>
      <c r="AE26" s="11"/>
      <c r="AF26" s="11"/>
    </row>
    <row r="27" spans="1:32" ht="15.75" x14ac:dyDescent="0.25">
      <c r="A27" s="21" t="s">
        <v>20</v>
      </c>
      <c r="B27" s="6">
        <v>26</v>
      </c>
      <c r="C27" s="6">
        <v>0</v>
      </c>
      <c r="D27" s="6">
        <v>0</v>
      </c>
      <c r="E27" s="6">
        <v>0</v>
      </c>
      <c r="F27" s="6">
        <v>1</v>
      </c>
      <c r="G27" s="3">
        <v>90</v>
      </c>
      <c r="H27" s="7">
        <v>1</v>
      </c>
      <c r="I27" s="7">
        <v>0</v>
      </c>
      <c r="J27" s="9">
        <f t="shared" si="0"/>
        <v>1</v>
      </c>
      <c r="K27" s="9">
        <f t="shared" si="1"/>
        <v>0</v>
      </c>
      <c r="L27" s="9">
        <f t="shared" si="2"/>
        <v>1</v>
      </c>
      <c r="M27" s="9">
        <f t="shared" si="3"/>
        <v>0</v>
      </c>
      <c r="N27" s="9">
        <f t="shared" si="4"/>
        <v>0</v>
      </c>
      <c r="O27" s="9">
        <f t="shared" si="5"/>
        <v>0</v>
      </c>
      <c r="P27" s="9">
        <f t="shared" si="6"/>
        <v>1</v>
      </c>
      <c r="Q27" s="14">
        <f t="shared" si="7"/>
        <v>0</v>
      </c>
      <c r="R27" s="14">
        <f t="shared" si="8"/>
        <v>0</v>
      </c>
      <c r="S27" s="14">
        <f t="shared" si="9"/>
        <v>0</v>
      </c>
      <c r="T27" s="14">
        <f t="shared" si="10"/>
        <v>0</v>
      </c>
      <c r="U27" s="14">
        <f t="shared" si="11"/>
        <v>0</v>
      </c>
      <c r="V27" s="14">
        <f t="shared" si="12"/>
        <v>0</v>
      </c>
      <c r="W27" s="14">
        <f t="shared" si="13"/>
        <v>90</v>
      </c>
      <c r="X27" s="14">
        <f t="shared" si="14"/>
        <v>0</v>
      </c>
      <c r="Y27" s="11"/>
      <c r="Z27" s="11"/>
      <c r="AA27" s="11"/>
      <c r="AB27" s="11"/>
      <c r="AC27" s="11"/>
      <c r="AD27" s="11"/>
      <c r="AE27" s="11"/>
      <c r="AF27" s="11"/>
    </row>
    <row r="28" spans="1:32" ht="15.75" x14ac:dyDescent="0.25">
      <c r="A28" s="21" t="s">
        <v>23</v>
      </c>
      <c r="B28" s="6">
        <v>27</v>
      </c>
      <c r="C28" s="6">
        <v>0</v>
      </c>
      <c r="D28" s="6">
        <v>0</v>
      </c>
      <c r="E28" s="6">
        <v>0</v>
      </c>
      <c r="F28" s="6">
        <v>1</v>
      </c>
      <c r="G28" s="3">
        <v>62</v>
      </c>
      <c r="H28" s="7">
        <v>0</v>
      </c>
      <c r="I28" s="7">
        <v>0</v>
      </c>
      <c r="J28" s="9">
        <f t="shared" si="0"/>
        <v>0</v>
      </c>
      <c r="K28" s="9">
        <f t="shared" si="1"/>
        <v>0</v>
      </c>
      <c r="L28" s="9">
        <f t="shared" si="2"/>
        <v>0</v>
      </c>
      <c r="M28" s="9">
        <f t="shared" si="3"/>
        <v>0</v>
      </c>
      <c r="N28" s="9">
        <f t="shared" si="4"/>
        <v>0</v>
      </c>
      <c r="O28" s="9">
        <f t="shared" si="5"/>
        <v>0</v>
      </c>
      <c r="P28" s="9">
        <f t="shared" si="6"/>
        <v>0</v>
      </c>
      <c r="Q28" s="14">
        <f t="shared" si="7"/>
        <v>0</v>
      </c>
      <c r="R28" s="14">
        <f t="shared" si="8"/>
        <v>0</v>
      </c>
      <c r="S28" s="14">
        <f t="shared" si="9"/>
        <v>0</v>
      </c>
      <c r="T28" s="14">
        <f t="shared" si="10"/>
        <v>0</v>
      </c>
      <c r="U28" s="14">
        <f t="shared" si="11"/>
        <v>0</v>
      </c>
      <c r="V28" s="14">
        <f t="shared" si="12"/>
        <v>0</v>
      </c>
      <c r="W28" s="14">
        <f t="shared" si="13"/>
        <v>0</v>
      </c>
      <c r="X28" s="14">
        <f t="shared" si="14"/>
        <v>0</v>
      </c>
      <c r="Y28" s="11"/>
      <c r="Z28" s="11"/>
      <c r="AA28" s="11"/>
      <c r="AB28" s="11"/>
      <c r="AC28" s="11"/>
      <c r="AD28" s="11"/>
      <c r="AE28" s="11"/>
      <c r="AF28" s="11"/>
    </row>
    <row r="29" spans="1:32" ht="15.75" x14ac:dyDescent="0.25">
      <c r="A29" s="21" t="s">
        <v>38</v>
      </c>
      <c r="B29" s="6">
        <v>28</v>
      </c>
      <c r="C29" s="6">
        <v>0</v>
      </c>
      <c r="D29" s="6">
        <v>0</v>
      </c>
      <c r="E29" s="6">
        <v>0</v>
      </c>
      <c r="F29" s="6">
        <v>1</v>
      </c>
      <c r="G29" s="3">
        <v>101</v>
      </c>
      <c r="H29" s="7">
        <v>0</v>
      </c>
      <c r="I29" s="7">
        <v>1</v>
      </c>
      <c r="J29" s="9">
        <f t="shared" si="0"/>
        <v>1</v>
      </c>
      <c r="K29" s="9">
        <f t="shared" si="1"/>
        <v>0</v>
      </c>
      <c r="L29" s="9">
        <f t="shared" si="2"/>
        <v>1</v>
      </c>
      <c r="M29" s="9">
        <f t="shared" si="3"/>
        <v>0</v>
      </c>
      <c r="N29" s="9">
        <f t="shared" si="4"/>
        <v>0</v>
      </c>
      <c r="O29" s="9">
        <f t="shared" si="5"/>
        <v>0</v>
      </c>
      <c r="P29" s="9">
        <f t="shared" si="6"/>
        <v>0</v>
      </c>
      <c r="Q29" s="14">
        <f t="shared" si="7"/>
        <v>0</v>
      </c>
      <c r="R29" s="14">
        <f t="shared" si="8"/>
        <v>0</v>
      </c>
      <c r="S29" s="14">
        <f t="shared" si="9"/>
        <v>0</v>
      </c>
      <c r="T29" s="14">
        <f t="shared" si="10"/>
        <v>0</v>
      </c>
      <c r="U29" s="14">
        <f t="shared" si="11"/>
        <v>0</v>
      </c>
      <c r="V29" s="14">
        <f t="shared" si="12"/>
        <v>0</v>
      </c>
      <c r="W29" s="14">
        <f t="shared" si="13"/>
        <v>0</v>
      </c>
      <c r="X29" s="14">
        <f t="shared" si="14"/>
        <v>101</v>
      </c>
      <c r="Y29" s="11"/>
      <c r="Z29" s="11"/>
      <c r="AA29" s="11"/>
      <c r="AB29" s="11"/>
      <c r="AC29" s="11"/>
      <c r="AD29" s="11"/>
      <c r="AE29" s="11"/>
      <c r="AF29" s="11"/>
    </row>
    <row r="30" spans="1:32" ht="15.75" x14ac:dyDescent="0.25">
      <c r="A30" s="21" t="s">
        <v>6</v>
      </c>
      <c r="B30" s="6">
        <v>29</v>
      </c>
      <c r="C30" s="6">
        <v>0</v>
      </c>
      <c r="D30" s="6">
        <v>0</v>
      </c>
      <c r="E30" s="6">
        <v>0</v>
      </c>
      <c r="F30" s="6">
        <v>1</v>
      </c>
      <c r="G30" s="3">
        <v>113</v>
      </c>
      <c r="H30" s="7">
        <v>1</v>
      </c>
      <c r="I30" s="7">
        <v>0</v>
      </c>
      <c r="J30" s="9">
        <f t="shared" si="0"/>
        <v>1</v>
      </c>
      <c r="K30" s="9">
        <f t="shared" si="1"/>
        <v>0</v>
      </c>
      <c r="L30" s="9">
        <f t="shared" si="2"/>
        <v>1</v>
      </c>
      <c r="M30" s="9">
        <f t="shared" si="3"/>
        <v>0</v>
      </c>
      <c r="N30" s="9">
        <f t="shared" si="4"/>
        <v>0</v>
      </c>
      <c r="O30" s="9">
        <f t="shared" si="5"/>
        <v>0</v>
      </c>
      <c r="P30" s="9">
        <f t="shared" si="6"/>
        <v>1</v>
      </c>
      <c r="Q30" s="14">
        <f t="shared" si="7"/>
        <v>0</v>
      </c>
      <c r="R30" s="14">
        <f t="shared" si="8"/>
        <v>0</v>
      </c>
      <c r="S30" s="14">
        <f t="shared" si="9"/>
        <v>0</v>
      </c>
      <c r="T30" s="14">
        <f t="shared" si="10"/>
        <v>0</v>
      </c>
      <c r="U30" s="14">
        <f t="shared" si="11"/>
        <v>0</v>
      </c>
      <c r="V30" s="14">
        <f t="shared" si="12"/>
        <v>0</v>
      </c>
      <c r="W30" s="14">
        <f t="shared" si="13"/>
        <v>113</v>
      </c>
      <c r="X30" s="14">
        <f t="shared" si="14"/>
        <v>0</v>
      </c>
      <c r="Y30" s="11"/>
      <c r="Z30" s="11"/>
      <c r="AA30" s="11"/>
      <c r="AB30" s="11"/>
      <c r="AC30" s="11"/>
      <c r="AD30" s="11"/>
      <c r="AE30" s="11"/>
      <c r="AF30" s="11"/>
    </row>
    <row r="31" spans="1:32" ht="15.75" x14ac:dyDescent="0.25">
      <c r="A31" s="21" t="s">
        <v>22</v>
      </c>
      <c r="B31" s="6">
        <v>30</v>
      </c>
      <c r="C31" s="6">
        <v>0</v>
      </c>
      <c r="D31" s="6">
        <v>0</v>
      </c>
      <c r="E31" s="6">
        <v>0</v>
      </c>
      <c r="F31" s="6">
        <v>1</v>
      </c>
      <c r="G31" s="3">
        <v>103</v>
      </c>
      <c r="H31" s="7">
        <v>0</v>
      </c>
      <c r="I31" s="7">
        <v>1</v>
      </c>
      <c r="J31" s="9">
        <f t="shared" si="0"/>
        <v>1</v>
      </c>
      <c r="K31" s="9">
        <f t="shared" si="1"/>
        <v>0</v>
      </c>
      <c r="L31" s="9">
        <f t="shared" si="2"/>
        <v>1</v>
      </c>
      <c r="M31" s="9">
        <f t="shared" si="3"/>
        <v>0</v>
      </c>
      <c r="N31" s="9">
        <f t="shared" si="4"/>
        <v>0</v>
      </c>
      <c r="O31" s="9">
        <f t="shared" si="5"/>
        <v>0</v>
      </c>
      <c r="P31" s="9">
        <f t="shared" si="6"/>
        <v>0</v>
      </c>
      <c r="Q31" s="14">
        <f t="shared" si="7"/>
        <v>0</v>
      </c>
      <c r="R31" s="14">
        <f t="shared" si="8"/>
        <v>0</v>
      </c>
      <c r="S31" s="14">
        <f t="shared" si="9"/>
        <v>0</v>
      </c>
      <c r="T31" s="14">
        <f t="shared" si="10"/>
        <v>0</v>
      </c>
      <c r="U31" s="14">
        <f t="shared" si="11"/>
        <v>0</v>
      </c>
      <c r="V31" s="14">
        <f t="shared" si="12"/>
        <v>0</v>
      </c>
      <c r="W31" s="14">
        <f t="shared" si="13"/>
        <v>0</v>
      </c>
      <c r="X31" s="14">
        <f t="shared" si="14"/>
        <v>103</v>
      </c>
      <c r="Y31" s="11"/>
      <c r="Z31" s="11"/>
      <c r="AA31" s="11"/>
      <c r="AB31" s="11"/>
      <c r="AC31" s="11"/>
      <c r="AD31" s="11"/>
      <c r="AE31" s="11"/>
      <c r="AF31" s="11"/>
    </row>
    <row r="32" spans="1:32" ht="15.75" x14ac:dyDescent="0.25">
      <c r="A32" s="2"/>
      <c r="B32" s="2"/>
      <c r="C32" s="2"/>
      <c r="D32" s="2"/>
      <c r="E32" s="2"/>
      <c r="F32" s="1"/>
    </row>
    <row r="33" spans="1:22" ht="15.75" x14ac:dyDescent="0.25">
      <c r="A33" s="2" t="s">
        <v>45</v>
      </c>
      <c r="B33" s="2"/>
      <c r="C33" s="2"/>
      <c r="D33" s="2"/>
      <c r="E33" s="2"/>
      <c r="F33" s="1"/>
      <c r="H33">
        <f>SUM(H2:H31)</f>
        <v>12</v>
      </c>
      <c r="I33">
        <f>SUM(I2:I31)</f>
        <v>4</v>
      </c>
      <c r="K33">
        <f>SUM(K2:K31)</f>
        <v>8</v>
      </c>
      <c r="L33">
        <f>SUM(L2:L31)</f>
        <v>8</v>
      </c>
      <c r="N33" s="6"/>
      <c r="O33" t="s">
        <v>74</v>
      </c>
      <c r="U33" s="17"/>
      <c r="V33" t="s">
        <v>60</v>
      </c>
    </row>
    <row r="34" spans="1:22" ht="15.75" x14ac:dyDescent="0.25">
      <c r="A34" s="2"/>
      <c r="B34" s="2"/>
      <c r="C34" s="2"/>
      <c r="D34" s="2"/>
      <c r="E34" s="2"/>
      <c r="F34" s="1"/>
      <c r="N34" s="9"/>
      <c r="O34" t="s">
        <v>75</v>
      </c>
      <c r="U34" s="15"/>
      <c r="V34" t="s">
        <v>59</v>
      </c>
    </row>
    <row r="35" spans="1:22" ht="15.75" x14ac:dyDescent="0.25">
      <c r="A35" s="2" t="s">
        <v>36</v>
      </c>
      <c r="B35" s="2"/>
      <c r="C35" s="2"/>
      <c r="D35" s="2"/>
      <c r="E35" s="2"/>
      <c r="F35" s="1"/>
      <c r="N35" s="7"/>
      <c r="O35" t="s">
        <v>76</v>
      </c>
      <c r="U35" s="12"/>
      <c r="V35" t="s">
        <v>61</v>
      </c>
    </row>
    <row r="36" spans="1:22" ht="15.75" x14ac:dyDescent="0.25">
      <c r="A36" s="1" t="s">
        <v>35</v>
      </c>
      <c r="B36">
        <f>SUMPRODUCT(G2:G31,H2:H31)</f>
        <v>1235</v>
      </c>
      <c r="N36" s="3"/>
      <c r="O36" t="s">
        <v>77</v>
      </c>
      <c r="U36" s="14"/>
      <c r="V36" t="s">
        <v>62</v>
      </c>
    </row>
    <row r="37" spans="1:22" ht="15.75" x14ac:dyDescent="0.25">
      <c r="A37" s="1" t="s">
        <v>34</v>
      </c>
      <c r="B37">
        <f>SUMPRODUCT(G2:G31,I2:I31)</f>
        <v>386</v>
      </c>
    </row>
    <row r="39" spans="1:22" ht="15.75" x14ac:dyDescent="0.25">
      <c r="A39" s="1" t="s">
        <v>33</v>
      </c>
      <c r="B39">
        <f>B36+B37</f>
        <v>1621</v>
      </c>
    </row>
    <row r="41" spans="1:22" ht="15.75" x14ac:dyDescent="0.25">
      <c r="A41" s="1" t="s">
        <v>47</v>
      </c>
    </row>
    <row r="42" spans="1:22" x14ac:dyDescent="0.25">
      <c r="B42">
        <f>SUM(H2:H31) +SUM(I2:I31)</f>
        <v>16</v>
      </c>
      <c r="C42" t="s">
        <v>48</v>
      </c>
      <c r="D42">
        <v>16</v>
      </c>
    </row>
    <row r="43" spans="1:22" x14ac:dyDescent="0.25">
      <c r="C43" t="s">
        <v>49</v>
      </c>
      <c r="D43">
        <v>1</v>
      </c>
    </row>
    <row r="44" spans="1:22" x14ac:dyDescent="0.25">
      <c r="B44">
        <f>SUM(K2:K31)</f>
        <v>8</v>
      </c>
      <c r="C44" t="s">
        <v>49</v>
      </c>
      <c r="D44">
        <v>8</v>
      </c>
    </row>
    <row r="45" spans="1:22" x14ac:dyDescent="0.25">
      <c r="B45">
        <f>SUM(L2:L31)</f>
        <v>8</v>
      </c>
      <c r="C45" t="s">
        <v>49</v>
      </c>
      <c r="D45">
        <v>8</v>
      </c>
    </row>
    <row r="47" spans="1:22" x14ac:dyDescent="0.25">
      <c r="A47" t="s">
        <v>54</v>
      </c>
      <c r="B47">
        <f>SUM(M2:M31)</f>
        <v>3</v>
      </c>
      <c r="C47" t="s">
        <v>48</v>
      </c>
      <c r="D47">
        <f>SUM(N2:N31)</f>
        <v>3</v>
      </c>
    </row>
    <row r="48" spans="1:22" x14ac:dyDescent="0.25">
      <c r="A48" t="s">
        <v>55</v>
      </c>
      <c r="B48">
        <f>SUM(O2:O31)</f>
        <v>3</v>
      </c>
      <c r="C48" t="s">
        <v>48</v>
      </c>
      <c r="D48">
        <f>SUM(P2:P31)</f>
        <v>3</v>
      </c>
    </row>
    <row r="50" spans="1:4" x14ac:dyDescent="0.25">
      <c r="A50" t="s">
        <v>57</v>
      </c>
      <c r="B50">
        <f>B47</f>
        <v>3</v>
      </c>
      <c r="C50" t="s">
        <v>56</v>
      </c>
      <c r="D50">
        <f>B48</f>
        <v>3</v>
      </c>
    </row>
    <row r="51" spans="1:4" x14ac:dyDescent="0.25">
      <c r="B51" t="s">
        <v>58</v>
      </c>
    </row>
  </sheetData>
  <autoFilter ref="A1:X31">
    <sortState ref="A2:X31">
      <sortCondition ref="B1:B31"/>
    </sortState>
  </autoFilter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51"/>
  <sheetViews>
    <sheetView topLeftCell="A25" workbookViewId="0">
      <selection activeCell="G2" sqref="G2:G31"/>
    </sheetView>
  </sheetViews>
  <sheetFormatPr defaultRowHeight="15" x14ac:dyDescent="0.25"/>
  <cols>
    <col min="1" max="1" width="21" bestFit="1" customWidth="1"/>
    <col min="25" max="25" width="7.28515625" customWidth="1"/>
    <col min="26" max="26" width="6.7109375" customWidth="1"/>
    <col min="27" max="27" width="6.5703125" customWidth="1"/>
  </cols>
  <sheetData>
    <row r="1" spans="1:32" ht="47.25" x14ac:dyDescent="0.25">
      <c r="A1" s="4" t="s">
        <v>25</v>
      </c>
      <c r="B1" s="4" t="s">
        <v>37</v>
      </c>
      <c r="C1" s="4" t="s">
        <v>28</v>
      </c>
      <c r="D1" s="4" t="s">
        <v>29</v>
      </c>
      <c r="E1" s="4" t="s">
        <v>30</v>
      </c>
      <c r="F1" s="4" t="s">
        <v>31</v>
      </c>
      <c r="G1" s="5" t="s">
        <v>32</v>
      </c>
      <c r="H1" s="5" t="s">
        <v>26</v>
      </c>
      <c r="I1" s="5" t="s">
        <v>27</v>
      </c>
      <c r="J1" s="13" t="s">
        <v>46</v>
      </c>
      <c r="K1" s="13" t="s">
        <v>43</v>
      </c>
      <c r="L1" s="13" t="s">
        <v>44</v>
      </c>
      <c r="M1" s="8" t="s">
        <v>51</v>
      </c>
      <c r="N1" s="8" t="s">
        <v>50</v>
      </c>
      <c r="O1" s="8" t="s">
        <v>52</v>
      </c>
      <c r="P1" s="8" t="s">
        <v>53</v>
      </c>
      <c r="Q1" s="8" t="s">
        <v>66</v>
      </c>
      <c r="R1" s="8" t="s">
        <v>67</v>
      </c>
      <c r="S1" s="8" t="s">
        <v>68</v>
      </c>
      <c r="T1" s="8" t="s">
        <v>69</v>
      </c>
      <c r="U1" s="8" t="s">
        <v>70</v>
      </c>
      <c r="V1" s="8" t="s">
        <v>71</v>
      </c>
      <c r="W1" s="8" t="s">
        <v>72</v>
      </c>
      <c r="X1" s="8" t="s">
        <v>73</v>
      </c>
      <c r="Y1" s="8"/>
      <c r="Z1" s="8"/>
      <c r="AA1" s="8"/>
      <c r="AB1" s="8"/>
    </row>
    <row r="2" spans="1:32" ht="15.75" x14ac:dyDescent="0.25">
      <c r="A2" s="18" t="s">
        <v>16</v>
      </c>
      <c r="B2" s="6">
        <v>1</v>
      </c>
      <c r="C2" s="6">
        <v>1</v>
      </c>
      <c r="D2" s="6">
        <v>0</v>
      </c>
      <c r="E2" s="6">
        <v>0</v>
      </c>
      <c r="F2" s="6">
        <v>0</v>
      </c>
      <c r="G2" s="3">
        <v>91</v>
      </c>
      <c r="H2" s="7">
        <v>0</v>
      </c>
      <c r="I2" s="7">
        <v>0</v>
      </c>
      <c r="J2" s="9">
        <f t="shared" ref="J2:J31" si="0">H2+I2</f>
        <v>0</v>
      </c>
      <c r="K2" s="9">
        <f t="shared" ref="K2:K31" si="1">(C2+D2)*(H2+I2)</f>
        <v>0</v>
      </c>
      <c r="L2" s="9">
        <f t="shared" ref="L2:L31" si="2">(E2+F2)*(H2+I2)</f>
        <v>0</v>
      </c>
      <c r="M2" s="9">
        <f t="shared" ref="M2:M31" si="3">C2*H2</f>
        <v>0</v>
      </c>
      <c r="N2" s="9">
        <f t="shared" ref="N2:N31" si="4">D2*H2</f>
        <v>0</v>
      </c>
      <c r="O2" s="9">
        <f t="shared" ref="O2:O31" si="5">E2*H2</f>
        <v>0</v>
      </c>
      <c r="P2" s="9">
        <f t="shared" ref="P2:P31" si="6">F2*H2</f>
        <v>0</v>
      </c>
      <c r="Q2" s="17">
        <f t="shared" ref="Q2:Q31" si="7">H2*G2*C2</f>
        <v>0</v>
      </c>
      <c r="R2" s="17">
        <f t="shared" ref="R2:R31" si="8">I2*G2*C2</f>
        <v>0</v>
      </c>
      <c r="S2" s="17">
        <f t="shared" ref="S2:S31" si="9">H2*G2*D2</f>
        <v>0</v>
      </c>
      <c r="T2" s="17">
        <f t="shared" ref="T2:T31" si="10">I2*G2*D2</f>
        <v>0</v>
      </c>
      <c r="U2" s="17">
        <f t="shared" ref="U2:U31" si="11">H2*G2*E2</f>
        <v>0</v>
      </c>
      <c r="V2" s="17">
        <f t="shared" ref="V2:V31" si="12">I2*G2*E2</f>
        <v>0</v>
      </c>
      <c r="W2" s="17">
        <f t="shared" ref="W2:W31" si="13">H2*G2*F2</f>
        <v>0</v>
      </c>
      <c r="X2" s="17">
        <f t="shared" ref="X2:X31" si="14">I2*G2*F2</f>
        <v>0</v>
      </c>
      <c r="Y2" s="11"/>
      <c r="Z2" s="11"/>
      <c r="AA2" s="11"/>
      <c r="AB2" s="11"/>
      <c r="AC2" s="11"/>
      <c r="AD2" s="11"/>
      <c r="AE2" s="11"/>
      <c r="AF2" s="11"/>
    </row>
    <row r="3" spans="1:32" ht="14.25" customHeight="1" x14ac:dyDescent="0.25">
      <c r="A3" s="18" t="s">
        <v>21</v>
      </c>
      <c r="B3" s="6">
        <v>2</v>
      </c>
      <c r="C3" s="6">
        <v>1</v>
      </c>
      <c r="D3" s="6">
        <v>0</v>
      </c>
      <c r="E3" s="6">
        <v>0</v>
      </c>
      <c r="F3" s="6">
        <v>0</v>
      </c>
      <c r="G3" s="3">
        <v>81</v>
      </c>
      <c r="H3" s="7">
        <v>0</v>
      </c>
      <c r="I3" s="7">
        <v>0</v>
      </c>
      <c r="J3" s="9">
        <f t="shared" si="0"/>
        <v>0</v>
      </c>
      <c r="K3" s="9">
        <f t="shared" si="1"/>
        <v>0</v>
      </c>
      <c r="L3" s="9">
        <f t="shared" si="2"/>
        <v>0</v>
      </c>
      <c r="M3" s="9">
        <f t="shared" si="3"/>
        <v>0</v>
      </c>
      <c r="N3" s="9">
        <f t="shared" si="4"/>
        <v>0</v>
      </c>
      <c r="O3" s="9">
        <f t="shared" si="5"/>
        <v>0</v>
      </c>
      <c r="P3" s="9">
        <f t="shared" si="6"/>
        <v>0</v>
      </c>
      <c r="Q3" s="17">
        <f t="shared" si="7"/>
        <v>0</v>
      </c>
      <c r="R3" s="17">
        <f t="shared" si="8"/>
        <v>0</v>
      </c>
      <c r="S3" s="17">
        <f t="shared" si="9"/>
        <v>0</v>
      </c>
      <c r="T3" s="17">
        <f t="shared" si="10"/>
        <v>0</v>
      </c>
      <c r="U3" s="17">
        <f t="shared" si="11"/>
        <v>0</v>
      </c>
      <c r="V3" s="17">
        <f t="shared" si="12"/>
        <v>0</v>
      </c>
      <c r="W3" s="17">
        <f t="shared" si="13"/>
        <v>0</v>
      </c>
      <c r="X3" s="17">
        <f t="shared" si="14"/>
        <v>0</v>
      </c>
      <c r="Y3" s="11"/>
      <c r="Z3" s="11"/>
      <c r="AA3" s="11"/>
      <c r="AB3" s="11"/>
      <c r="AC3" s="11"/>
      <c r="AD3" s="11"/>
      <c r="AE3" s="11"/>
      <c r="AF3" s="11"/>
    </row>
    <row r="4" spans="1:32" ht="15.75" x14ac:dyDescent="0.25">
      <c r="A4" s="18" t="s">
        <v>39</v>
      </c>
      <c r="B4" s="6">
        <v>3</v>
      </c>
      <c r="C4" s="6">
        <v>1</v>
      </c>
      <c r="D4" s="6">
        <v>0</v>
      </c>
      <c r="E4" s="6">
        <v>0</v>
      </c>
      <c r="F4" s="6">
        <v>0</v>
      </c>
      <c r="G4" s="3">
        <v>81</v>
      </c>
      <c r="H4" s="7">
        <v>0</v>
      </c>
      <c r="I4" s="7">
        <v>0</v>
      </c>
      <c r="J4" s="9">
        <f t="shared" si="0"/>
        <v>0</v>
      </c>
      <c r="K4" s="9">
        <f t="shared" si="1"/>
        <v>0</v>
      </c>
      <c r="L4" s="9">
        <f t="shared" si="2"/>
        <v>0</v>
      </c>
      <c r="M4" s="9">
        <f t="shared" si="3"/>
        <v>0</v>
      </c>
      <c r="N4" s="9">
        <f t="shared" si="4"/>
        <v>0</v>
      </c>
      <c r="O4" s="9">
        <f t="shared" si="5"/>
        <v>0</v>
      </c>
      <c r="P4" s="9">
        <f t="shared" si="6"/>
        <v>0</v>
      </c>
      <c r="Q4" s="17">
        <f t="shared" si="7"/>
        <v>0</v>
      </c>
      <c r="R4" s="17">
        <f t="shared" si="8"/>
        <v>0</v>
      </c>
      <c r="S4" s="17">
        <f t="shared" si="9"/>
        <v>0</v>
      </c>
      <c r="T4" s="17">
        <f t="shared" si="10"/>
        <v>0</v>
      </c>
      <c r="U4" s="17">
        <f t="shared" si="11"/>
        <v>0</v>
      </c>
      <c r="V4" s="17">
        <f t="shared" si="12"/>
        <v>0</v>
      </c>
      <c r="W4" s="17">
        <f t="shared" si="13"/>
        <v>0</v>
      </c>
      <c r="X4" s="17">
        <f t="shared" si="14"/>
        <v>0</v>
      </c>
      <c r="Y4" s="11"/>
      <c r="Z4" s="11"/>
      <c r="AA4" s="11"/>
      <c r="AB4" s="11"/>
      <c r="AC4" s="11"/>
      <c r="AD4" s="11"/>
      <c r="AE4" s="11"/>
      <c r="AF4" s="11"/>
    </row>
    <row r="5" spans="1:32" ht="15.75" x14ac:dyDescent="0.25">
      <c r="A5" s="18" t="s">
        <v>40</v>
      </c>
      <c r="B5" s="6">
        <v>4</v>
      </c>
      <c r="C5" s="6">
        <v>1</v>
      </c>
      <c r="D5" s="6">
        <v>0</v>
      </c>
      <c r="E5" s="6">
        <v>0</v>
      </c>
      <c r="F5" s="6">
        <v>0</v>
      </c>
      <c r="G5" s="3">
        <v>73</v>
      </c>
      <c r="H5" s="7">
        <v>0</v>
      </c>
      <c r="I5" s="7">
        <v>0</v>
      </c>
      <c r="J5" s="9">
        <f t="shared" si="0"/>
        <v>0</v>
      </c>
      <c r="K5" s="9">
        <f t="shared" si="1"/>
        <v>0</v>
      </c>
      <c r="L5" s="9">
        <f t="shared" si="2"/>
        <v>0</v>
      </c>
      <c r="M5" s="9">
        <f t="shared" si="3"/>
        <v>0</v>
      </c>
      <c r="N5" s="9">
        <f t="shared" si="4"/>
        <v>0</v>
      </c>
      <c r="O5" s="9">
        <f t="shared" si="5"/>
        <v>0</v>
      </c>
      <c r="P5" s="9">
        <f t="shared" si="6"/>
        <v>0</v>
      </c>
      <c r="Q5" s="17">
        <f t="shared" si="7"/>
        <v>0</v>
      </c>
      <c r="R5" s="17">
        <f t="shared" si="8"/>
        <v>0</v>
      </c>
      <c r="S5" s="17">
        <f t="shared" si="9"/>
        <v>0</v>
      </c>
      <c r="T5" s="17">
        <f t="shared" si="10"/>
        <v>0</v>
      </c>
      <c r="U5" s="17">
        <f t="shared" si="11"/>
        <v>0</v>
      </c>
      <c r="V5" s="17">
        <f t="shared" si="12"/>
        <v>0</v>
      </c>
      <c r="W5" s="17">
        <f t="shared" si="13"/>
        <v>0</v>
      </c>
      <c r="X5" s="17">
        <f t="shared" si="14"/>
        <v>0</v>
      </c>
      <c r="Y5" s="11"/>
      <c r="Z5" s="11"/>
      <c r="AA5" s="11"/>
      <c r="AB5" s="11"/>
      <c r="AC5" s="11"/>
      <c r="AD5" s="11"/>
      <c r="AE5" s="11"/>
      <c r="AF5" s="11"/>
    </row>
    <row r="6" spans="1:32" ht="15.75" x14ac:dyDescent="0.25">
      <c r="A6" s="18" t="s">
        <v>41</v>
      </c>
      <c r="B6" s="6">
        <v>5</v>
      </c>
      <c r="C6" s="6">
        <v>1</v>
      </c>
      <c r="D6" s="6">
        <v>0</v>
      </c>
      <c r="E6" s="6">
        <v>0</v>
      </c>
      <c r="F6" s="6">
        <v>0</v>
      </c>
      <c r="G6" s="3">
        <v>93</v>
      </c>
      <c r="H6" s="7">
        <v>0</v>
      </c>
      <c r="I6" s="7">
        <v>0</v>
      </c>
      <c r="J6" s="9">
        <f t="shared" si="0"/>
        <v>0</v>
      </c>
      <c r="K6" s="9">
        <f t="shared" si="1"/>
        <v>0</v>
      </c>
      <c r="L6" s="9">
        <f t="shared" si="2"/>
        <v>0</v>
      </c>
      <c r="M6" s="9">
        <f t="shared" si="3"/>
        <v>0</v>
      </c>
      <c r="N6" s="9">
        <f t="shared" si="4"/>
        <v>0</v>
      </c>
      <c r="O6" s="9">
        <f t="shared" si="5"/>
        <v>0</v>
      </c>
      <c r="P6" s="9">
        <f t="shared" si="6"/>
        <v>0</v>
      </c>
      <c r="Q6" s="17">
        <f t="shared" si="7"/>
        <v>0</v>
      </c>
      <c r="R6" s="17">
        <f t="shared" si="8"/>
        <v>0</v>
      </c>
      <c r="S6" s="17">
        <f t="shared" si="9"/>
        <v>0</v>
      </c>
      <c r="T6" s="17">
        <f t="shared" si="10"/>
        <v>0</v>
      </c>
      <c r="U6" s="17">
        <f t="shared" si="11"/>
        <v>0</v>
      </c>
      <c r="V6" s="17">
        <f t="shared" si="12"/>
        <v>0</v>
      </c>
      <c r="W6" s="17">
        <f t="shared" si="13"/>
        <v>0</v>
      </c>
      <c r="X6" s="17">
        <f t="shared" si="14"/>
        <v>0</v>
      </c>
      <c r="Y6" s="11"/>
      <c r="Z6" s="11"/>
      <c r="AA6" s="11"/>
      <c r="AB6" s="11"/>
      <c r="AC6" s="11"/>
      <c r="AD6" s="11"/>
      <c r="AE6" s="11"/>
      <c r="AF6" s="11"/>
    </row>
    <row r="7" spans="1:32" ht="15.75" x14ac:dyDescent="0.25">
      <c r="A7" s="18" t="s">
        <v>9</v>
      </c>
      <c r="B7" s="6">
        <v>6</v>
      </c>
      <c r="C7" s="6">
        <v>1</v>
      </c>
      <c r="D7" s="6">
        <v>0</v>
      </c>
      <c r="E7" s="6">
        <v>0</v>
      </c>
      <c r="F7" s="6">
        <v>0</v>
      </c>
      <c r="G7" s="3">
        <v>106</v>
      </c>
      <c r="H7" s="7">
        <v>1</v>
      </c>
      <c r="I7" s="7">
        <v>0</v>
      </c>
      <c r="J7" s="9">
        <f t="shared" si="0"/>
        <v>1</v>
      </c>
      <c r="K7" s="9">
        <f t="shared" si="1"/>
        <v>1</v>
      </c>
      <c r="L7" s="9">
        <f t="shared" si="2"/>
        <v>0</v>
      </c>
      <c r="M7" s="9">
        <f t="shared" si="3"/>
        <v>1</v>
      </c>
      <c r="N7" s="9">
        <f t="shared" si="4"/>
        <v>0</v>
      </c>
      <c r="O7" s="9">
        <f t="shared" si="5"/>
        <v>0</v>
      </c>
      <c r="P7" s="9">
        <f t="shared" si="6"/>
        <v>0</v>
      </c>
      <c r="Q7" s="17">
        <f t="shared" si="7"/>
        <v>106</v>
      </c>
      <c r="R7" s="17">
        <f t="shared" si="8"/>
        <v>0</v>
      </c>
      <c r="S7" s="17">
        <f t="shared" si="9"/>
        <v>0</v>
      </c>
      <c r="T7" s="17">
        <f t="shared" si="10"/>
        <v>0</v>
      </c>
      <c r="U7" s="17">
        <f t="shared" si="11"/>
        <v>0</v>
      </c>
      <c r="V7" s="17">
        <f t="shared" si="12"/>
        <v>0</v>
      </c>
      <c r="W7" s="17">
        <f t="shared" si="13"/>
        <v>0</v>
      </c>
      <c r="X7" s="17">
        <f t="shared" si="14"/>
        <v>0</v>
      </c>
      <c r="Y7" s="11"/>
      <c r="Z7" s="11"/>
      <c r="AA7" s="11"/>
      <c r="AB7" s="11"/>
      <c r="AC7" s="11"/>
      <c r="AD7" s="11"/>
      <c r="AE7" s="11"/>
      <c r="AF7" s="11"/>
    </row>
    <row r="8" spans="1:32" ht="15.75" x14ac:dyDescent="0.25">
      <c r="A8" s="18" t="s">
        <v>42</v>
      </c>
      <c r="B8" s="6">
        <v>7</v>
      </c>
      <c r="C8" s="6">
        <v>1</v>
      </c>
      <c r="D8" s="6">
        <v>0</v>
      </c>
      <c r="E8" s="6">
        <v>0</v>
      </c>
      <c r="F8" s="6">
        <v>0</v>
      </c>
      <c r="G8" s="3">
        <v>106</v>
      </c>
      <c r="H8" s="7">
        <v>1</v>
      </c>
      <c r="I8" s="7">
        <v>0</v>
      </c>
      <c r="J8" s="9">
        <f t="shared" si="0"/>
        <v>1</v>
      </c>
      <c r="K8" s="9">
        <f t="shared" si="1"/>
        <v>1</v>
      </c>
      <c r="L8" s="9">
        <f t="shared" si="2"/>
        <v>0</v>
      </c>
      <c r="M8" s="9">
        <f t="shared" si="3"/>
        <v>1</v>
      </c>
      <c r="N8" s="9">
        <f t="shared" si="4"/>
        <v>0</v>
      </c>
      <c r="O8" s="9">
        <f t="shared" si="5"/>
        <v>0</v>
      </c>
      <c r="P8" s="9">
        <f t="shared" si="6"/>
        <v>0</v>
      </c>
      <c r="Q8" s="17">
        <f t="shared" si="7"/>
        <v>106</v>
      </c>
      <c r="R8" s="17">
        <f t="shared" si="8"/>
        <v>0</v>
      </c>
      <c r="S8" s="17">
        <f t="shared" si="9"/>
        <v>0</v>
      </c>
      <c r="T8" s="17">
        <f t="shared" si="10"/>
        <v>0</v>
      </c>
      <c r="U8" s="17">
        <f t="shared" si="11"/>
        <v>0</v>
      </c>
      <c r="V8" s="17">
        <f t="shared" si="12"/>
        <v>0</v>
      </c>
      <c r="W8" s="17">
        <f t="shared" si="13"/>
        <v>0</v>
      </c>
      <c r="X8" s="17">
        <f t="shared" si="14"/>
        <v>0</v>
      </c>
      <c r="Y8" s="11"/>
      <c r="Z8" s="11"/>
      <c r="AA8" s="11"/>
      <c r="AB8" s="11"/>
      <c r="AC8" s="11"/>
      <c r="AD8" s="11"/>
      <c r="AE8" s="11"/>
      <c r="AF8" s="11"/>
    </row>
    <row r="9" spans="1:32" ht="15.75" x14ac:dyDescent="0.25">
      <c r="A9" s="18" t="s">
        <v>0</v>
      </c>
      <c r="B9" s="6">
        <v>8</v>
      </c>
      <c r="C9" s="6">
        <v>1</v>
      </c>
      <c r="D9" s="6">
        <v>0</v>
      </c>
      <c r="E9" s="6">
        <v>0</v>
      </c>
      <c r="F9" s="6">
        <v>0</v>
      </c>
      <c r="G9" s="3">
        <v>107</v>
      </c>
      <c r="H9" s="7">
        <v>1</v>
      </c>
      <c r="I9" s="7">
        <v>0</v>
      </c>
      <c r="J9" s="9">
        <f t="shared" si="0"/>
        <v>1</v>
      </c>
      <c r="K9" s="9">
        <f t="shared" si="1"/>
        <v>1</v>
      </c>
      <c r="L9" s="9">
        <f t="shared" si="2"/>
        <v>0</v>
      </c>
      <c r="M9" s="9">
        <f t="shared" si="3"/>
        <v>1</v>
      </c>
      <c r="N9" s="9">
        <f t="shared" si="4"/>
        <v>0</v>
      </c>
      <c r="O9" s="9">
        <f t="shared" si="5"/>
        <v>0</v>
      </c>
      <c r="P9" s="9">
        <f t="shared" si="6"/>
        <v>0</v>
      </c>
      <c r="Q9" s="17">
        <f t="shared" si="7"/>
        <v>107</v>
      </c>
      <c r="R9" s="17">
        <f t="shared" si="8"/>
        <v>0</v>
      </c>
      <c r="S9" s="17">
        <f t="shared" si="9"/>
        <v>0</v>
      </c>
      <c r="T9" s="17">
        <f t="shared" si="10"/>
        <v>0</v>
      </c>
      <c r="U9" s="17">
        <f t="shared" si="11"/>
        <v>0</v>
      </c>
      <c r="V9" s="17">
        <f t="shared" si="12"/>
        <v>0</v>
      </c>
      <c r="W9" s="17">
        <f t="shared" si="13"/>
        <v>0</v>
      </c>
      <c r="X9" s="17">
        <f t="shared" si="14"/>
        <v>0</v>
      </c>
      <c r="Y9" s="11"/>
      <c r="Z9" s="11"/>
      <c r="AA9" s="11"/>
      <c r="AB9" s="11"/>
      <c r="AC9" s="11"/>
      <c r="AD9" s="11"/>
      <c r="AE9" s="11"/>
      <c r="AF9" s="11"/>
    </row>
    <row r="10" spans="1:32" ht="15" customHeight="1" x14ac:dyDescent="0.25">
      <c r="A10" s="19" t="s">
        <v>8</v>
      </c>
      <c r="B10" s="6">
        <v>9</v>
      </c>
      <c r="C10" s="6">
        <v>0</v>
      </c>
      <c r="D10" s="6">
        <v>1</v>
      </c>
      <c r="E10" s="6">
        <v>0</v>
      </c>
      <c r="F10" s="6">
        <v>0</v>
      </c>
      <c r="G10" s="3">
        <v>103</v>
      </c>
      <c r="H10" s="7">
        <v>1</v>
      </c>
      <c r="I10" s="7">
        <v>0</v>
      </c>
      <c r="J10" s="9">
        <f t="shared" si="0"/>
        <v>1</v>
      </c>
      <c r="K10" s="9">
        <f t="shared" si="1"/>
        <v>1</v>
      </c>
      <c r="L10" s="9">
        <f t="shared" si="2"/>
        <v>0</v>
      </c>
      <c r="M10" s="9">
        <f t="shared" si="3"/>
        <v>0</v>
      </c>
      <c r="N10" s="9">
        <f t="shared" si="4"/>
        <v>1</v>
      </c>
      <c r="O10" s="9">
        <f t="shared" si="5"/>
        <v>0</v>
      </c>
      <c r="P10" s="9">
        <f t="shared" si="6"/>
        <v>0</v>
      </c>
      <c r="Q10" s="15">
        <f t="shared" si="7"/>
        <v>0</v>
      </c>
      <c r="R10" s="15">
        <f t="shared" si="8"/>
        <v>0</v>
      </c>
      <c r="S10" s="15">
        <f t="shared" si="9"/>
        <v>103</v>
      </c>
      <c r="T10" s="15">
        <f t="shared" si="10"/>
        <v>0</v>
      </c>
      <c r="U10" s="15">
        <f t="shared" si="11"/>
        <v>0</v>
      </c>
      <c r="V10" s="15">
        <f t="shared" si="12"/>
        <v>0</v>
      </c>
      <c r="W10" s="15">
        <f t="shared" si="13"/>
        <v>0</v>
      </c>
      <c r="X10" s="15">
        <f t="shared" si="14"/>
        <v>0</v>
      </c>
      <c r="Y10" s="11"/>
      <c r="Z10" s="11"/>
      <c r="AA10" s="11"/>
      <c r="AB10" s="11"/>
      <c r="AC10" s="11"/>
      <c r="AD10" s="11"/>
      <c r="AE10" s="11"/>
      <c r="AF10" s="11"/>
    </row>
    <row r="11" spans="1:32" ht="15.75" x14ac:dyDescent="0.25">
      <c r="A11" s="19" t="s">
        <v>17</v>
      </c>
      <c r="B11" s="6">
        <v>10</v>
      </c>
      <c r="C11" s="6">
        <v>0</v>
      </c>
      <c r="D11" s="6">
        <v>1</v>
      </c>
      <c r="E11" s="6">
        <v>0</v>
      </c>
      <c r="F11" s="6">
        <v>0</v>
      </c>
      <c r="G11" s="3">
        <v>96</v>
      </c>
      <c r="H11" s="7">
        <v>1</v>
      </c>
      <c r="I11" s="7">
        <v>0</v>
      </c>
      <c r="J11" s="9">
        <f t="shared" si="0"/>
        <v>1</v>
      </c>
      <c r="K11" s="9">
        <f t="shared" si="1"/>
        <v>1</v>
      </c>
      <c r="L11" s="9">
        <f t="shared" si="2"/>
        <v>0</v>
      </c>
      <c r="M11" s="9">
        <f t="shared" si="3"/>
        <v>0</v>
      </c>
      <c r="N11" s="9">
        <f t="shared" si="4"/>
        <v>1</v>
      </c>
      <c r="O11" s="9">
        <f t="shared" si="5"/>
        <v>0</v>
      </c>
      <c r="P11" s="9">
        <f t="shared" si="6"/>
        <v>0</v>
      </c>
      <c r="Q11" s="15">
        <f t="shared" si="7"/>
        <v>0</v>
      </c>
      <c r="R11" s="15">
        <f t="shared" si="8"/>
        <v>0</v>
      </c>
      <c r="S11" s="15">
        <f t="shared" si="9"/>
        <v>96</v>
      </c>
      <c r="T11" s="15">
        <f t="shared" si="10"/>
        <v>0</v>
      </c>
      <c r="U11" s="15">
        <f t="shared" si="11"/>
        <v>0</v>
      </c>
      <c r="V11" s="15">
        <f t="shared" si="12"/>
        <v>0</v>
      </c>
      <c r="W11" s="15">
        <f t="shared" si="13"/>
        <v>0</v>
      </c>
      <c r="X11" s="15">
        <f t="shared" si="14"/>
        <v>0</v>
      </c>
      <c r="Y11" s="11"/>
      <c r="Z11" s="11"/>
      <c r="AA11" s="11"/>
      <c r="AB11" s="11"/>
      <c r="AC11" s="11"/>
      <c r="AD11" s="11"/>
      <c r="AE11" s="11"/>
      <c r="AF11" s="11"/>
    </row>
    <row r="12" spans="1:32" ht="15.75" x14ac:dyDescent="0.25">
      <c r="A12" s="19" t="s">
        <v>11</v>
      </c>
      <c r="B12" s="6">
        <v>11</v>
      </c>
      <c r="C12" s="6">
        <v>0</v>
      </c>
      <c r="D12" s="6">
        <v>1</v>
      </c>
      <c r="E12" s="6">
        <v>0</v>
      </c>
      <c r="F12" s="6">
        <v>0</v>
      </c>
      <c r="G12" s="3">
        <v>104</v>
      </c>
      <c r="H12" s="7">
        <v>1</v>
      </c>
      <c r="I12" s="7">
        <v>0</v>
      </c>
      <c r="J12" s="9">
        <f t="shared" si="0"/>
        <v>1</v>
      </c>
      <c r="K12" s="9">
        <f t="shared" si="1"/>
        <v>1</v>
      </c>
      <c r="L12" s="9">
        <f t="shared" si="2"/>
        <v>0</v>
      </c>
      <c r="M12" s="9">
        <f t="shared" si="3"/>
        <v>0</v>
      </c>
      <c r="N12" s="9">
        <f t="shared" si="4"/>
        <v>1</v>
      </c>
      <c r="O12" s="9">
        <f t="shared" si="5"/>
        <v>0</v>
      </c>
      <c r="P12" s="9">
        <f t="shared" si="6"/>
        <v>0</v>
      </c>
      <c r="Q12" s="15">
        <f t="shared" si="7"/>
        <v>0</v>
      </c>
      <c r="R12" s="15">
        <f t="shared" si="8"/>
        <v>0</v>
      </c>
      <c r="S12" s="15">
        <f t="shared" si="9"/>
        <v>104</v>
      </c>
      <c r="T12" s="15">
        <f t="shared" si="10"/>
        <v>0</v>
      </c>
      <c r="U12" s="15">
        <f t="shared" si="11"/>
        <v>0</v>
      </c>
      <c r="V12" s="15">
        <f t="shared" si="12"/>
        <v>0</v>
      </c>
      <c r="W12" s="15">
        <f t="shared" si="13"/>
        <v>0</v>
      </c>
      <c r="X12" s="15">
        <f t="shared" si="14"/>
        <v>0</v>
      </c>
      <c r="Y12" s="11"/>
      <c r="Z12" s="11"/>
      <c r="AA12" s="11"/>
      <c r="AB12" s="11"/>
      <c r="AC12" s="11"/>
      <c r="AD12" s="11"/>
      <c r="AE12" s="11"/>
      <c r="AF12" s="11"/>
    </row>
    <row r="13" spans="1:32" ht="15.75" x14ac:dyDescent="0.25">
      <c r="A13" s="19" t="s">
        <v>3</v>
      </c>
      <c r="B13" s="6">
        <v>12</v>
      </c>
      <c r="C13" s="6">
        <v>0</v>
      </c>
      <c r="D13" s="6">
        <v>1</v>
      </c>
      <c r="E13" s="6">
        <v>0</v>
      </c>
      <c r="F13" s="6">
        <v>0</v>
      </c>
      <c r="G13" s="3">
        <v>72</v>
      </c>
      <c r="H13" s="7">
        <v>0</v>
      </c>
      <c r="I13" s="7">
        <v>0</v>
      </c>
      <c r="J13" s="9">
        <f t="shared" si="0"/>
        <v>0</v>
      </c>
      <c r="K13" s="9">
        <f t="shared" si="1"/>
        <v>0</v>
      </c>
      <c r="L13" s="9">
        <f t="shared" si="2"/>
        <v>0</v>
      </c>
      <c r="M13" s="9">
        <f t="shared" si="3"/>
        <v>0</v>
      </c>
      <c r="N13" s="9">
        <f t="shared" si="4"/>
        <v>0</v>
      </c>
      <c r="O13" s="9">
        <f t="shared" si="5"/>
        <v>0</v>
      </c>
      <c r="P13" s="9">
        <f t="shared" si="6"/>
        <v>0</v>
      </c>
      <c r="Q13" s="15">
        <f t="shared" si="7"/>
        <v>0</v>
      </c>
      <c r="R13" s="15">
        <f t="shared" si="8"/>
        <v>0</v>
      </c>
      <c r="S13" s="15">
        <f t="shared" si="9"/>
        <v>0</v>
      </c>
      <c r="T13" s="15">
        <f t="shared" si="10"/>
        <v>0</v>
      </c>
      <c r="U13" s="15">
        <f t="shared" si="11"/>
        <v>0</v>
      </c>
      <c r="V13" s="15">
        <f t="shared" si="12"/>
        <v>0</v>
      </c>
      <c r="W13" s="15">
        <f t="shared" si="13"/>
        <v>0</v>
      </c>
      <c r="X13" s="15">
        <f t="shared" si="14"/>
        <v>0</v>
      </c>
      <c r="Y13" s="11"/>
      <c r="Z13" s="11"/>
      <c r="AA13" s="11"/>
      <c r="AB13" s="11"/>
      <c r="AC13" s="11"/>
      <c r="AD13" s="11"/>
      <c r="AE13" s="11"/>
      <c r="AF13" s="11"/>
    </row>
    <row r="14" spans="1:32" ht="15.75" x14ac:dyDescent="0.25">
      <c r="A14" s="19" t="s">
        <v>15</v>
      </c>
      <c r="B14" s="6">
        <v>13</v>
      </c>
      <c r="C14" s="6">
        <v>0</v>
      </c>
      <c r="D14" s="6">
        <v>1</v>
      </c>
      <c r="E14" s="6">
        <v>0</v>
      </c>
      <c r="F14" s="6">
        <v>0</v>
      </c>
      <c r="G14" s="3">
        <v>96</v>
      </c>
      <c r="H14" s="7">
        <v>0</v>
      </c>
      <c r="I14" s="7">
        <v>1</v>
      </c>
      <c r="J14" s="9">
        <f t="shared" si="0"/>
        <v>1</v>
      </c>
      <c r="K14" s="9">
        <f t="shared" si="1"/>
        <v>1</v>
      </c>
      <c r="L14" s="9">
        <f t="shared" si="2"/>
        <v>0</v>
      </c>
      <c r="M14" s="9">
        <f t="shared" si="3"/>
        <v>0</v>
      </c>
      <c r="N14" s="9">
        <f t="shared" si="4"/>
        <v>0</v>
      </c>
      <c r="O14" s="9">
        <f t="shared" si="5"/>
        <v>0</v>
      </c>
      <c r="P14" s="9">
        <f t="shared" si="6"/>
        <v>0</v>
      </c>
      <c r="Q14" s="15">
        <f t="shared" si="7"/>
        <v>0</v>
      </c>
      <c r="R14" s="15">
        <f t="shared" si="8"/>
        <v>0</v>
      </c>
      <c r="S14" s="15">
        <f t="shared" si="9"/>
        <v>0</v>
      </c>
      <c r="T14" s="15">
        <f t="shared" si="10"/>
        <v>96</v>
      </c>
      <c r="U14" s="15">
        <f t="shared" si="11"/>
        <v>0</v>
      </c>
      <c r="V14" s="15">
        <f t="shared" si="12"/>
        <v>0</v>
      </c>
      <c r="W14" s="15">
        <f t="shared" si="13"/>
        <v>0</v>
      </c>
      <c r="X14" s="15">
        <f t="shared" si="14"/>
        <v>0</v>
      </c>
      <c r="Y14" s="11"/>
      <c r="Z14" s="11"/>
      <c r="AA14" s="11"/>
      <c r="AB14" s="11"/>
      <c r="AC14" s="11"/>
      <c r="AD14" s="11"/>
      <c r="AE14" s="11"/>
      <c r="AF14" s="11"/>
    </row>
    <row r="15" spans="1:32" ht="15.75" x14ac:dyDescent="0.25">
      <c r="A15" s="19" t="s">
        <v>14</v>
      </c>
      <c r="B15" s="6">
        <v>14</v>
      </c>
      <c r="C15" s="6">
        <v>0</v>
      </c>
      <c r="D15" s="6">
        <v>1</v>
      </c>
      <c r="E15" s="6">
        <v>0</v>
      </c>
      <c r="F15" s="6">
        <v>0</v>
      </c>
      <c r="G15" s="3">
        <v>74</v>
      </c>
      <c r="H15" s="7">
        <v>0</v>
      </c>
      <c r="I15" s="7">
        <v>0</v>
      </c>
      <c r="J15" s="9">
        <f t="shared" si="0"/>
        <v>0</v>
      </c>
      <c r="K15" s="9">
        <f t="shared" si="1"/>
        <v>0</v>
      </c>
      <c r="L15" s="9">
        <f t="shared" si="2"/>
        <v>0</v>
      </c>
      <c r="M15" s="9">
        <f t="shared" si="3"/>
        <v>0</v>
      </c>
      <c r="N15" s="9">
        <f t="shared" si="4"/>
        <v>0</v>
      </c>
      <c r="O15" s="9">
        <f t="shared" si="5"/>
        <v>0</v>
      </c>
      <c r="P15" s="9">
        <f t="shared" si="6"/>
        <v>0</v>
      </c>
      <c r="Q15" s="15">
        <f t="shared" si="7"/>
        <v>0</v>
      </c>
      <c r="R15" s="15">
        <f t="shared" si="8"/>
        <v>0</v>
      </c>
      <c r="S15" s="15">
        <f t="shared" si="9"/>
        <v>0</v>
      </c>
      <c r="T15" s="15">
        <f t="shared" si="10"/>
        <v>0</v>
      </c>
      <c r="U15" s="15">
        <f t="shared" si="11"/>
        <v>0</v>
      </c>
      <c r="V15" s="15">
        <f t="shared" si="12"/>
        <v>0</v>
      </c>
      <c r="W15" s="15">
        <f t="shared" si="13"/>
        <v>0</v>
      </c>
      <c r="X15" s="15">
        <f t="shared" si="14"/>
        <v>0</v>
      </c>
      <c r="Y15" s="11"/>
      <c r="Z15" s="11"/>
      <c r="AA15" s="11"/>
      <c r="AB15" s="11"/>
      <c r="AC15" s="11"/>
      <c r="AD15" s="11"/>
      <c r="AE15" s="11"/>
      <c r="AF15" s="11"/>
    </row>
    <row r="16" spans="1:32" ht="15.75" x14ac:dyDescent="0.25">
      <c r="A16" s="19" t="s">
        <v>7</v>
      </c>
      <c r="B16" s="6">
        <v>15</v>
      </c>
      <c r="C16" s="6">
        <v>0</v>
      </c>
      <c r="D16" s="6">
        <v>1</v>
      </c>
      <c r="E16" s="6">
        <v>0</v>
      </c>
      <c r="F16" s="6">
        <v>0</v>
      </c>
      <c r="G16" s="3">
        <v>103</v>
      </c>
      <c r="H16" s="7">
        <v>0</v>
      </c>
      <c r="I16" s="7">
        <v>1</v>
      </c>
      <c r="J16" s="9">
        <f t="shared" si="0"/>
        <v>1</v>
      </c>
      <c r="K16" s="9">
        <f t="shared" si="1"/>
        <v>1</v>
      </c>
      <c r="L16" s="9">
        <f t="shared" si="2"/>
        <v>0</v>
      </c>
      <c r="M16" s="9">
        <f t="shared" si="3"/>
        <v>0</v>
      </c>
      <c r="N16" s="9">
        <f t="shared" si="4"/>
        <v>0</v>
      </c>
      <c r="O16" s="9">
        <f t="shared" si="5"/>
        <v>0</v>
      </c>
      <c r="P16" s="9">
        <f t="shared" si="6"/>
        <v>0</v>
      </c>
      <c r="Q16" s="15">
        <f t="shared" si="7"/>
        <v>0</v>
      </c>
      <c r="R16" s="15">
        <f t="shared" si="8"/>
        <v>0</v>
      </c>
      <c r="S16" s="15">
        <f t="shared" si="9"/>
        <v>0</v>
      </c>
      <c r="T16" s="15">
        <f t="shared" si="10"/>
        <v>103</v>
      </c>
      <c r="U16" s="15">
        <f t="shared" si="11"/>
        <v>0</v>
      </c>
      <c r="V16" s="15">
        <f t="shared" si="12"/>
        <v>0</v>
      </c>
      <c r="W16" s="15">
        <f t="shared" si="13"/>
        <v>0</v>
      </c>
      <c r="X16" s="15">
        <f t="shared" si="14"/>
        <v>0</v>
      </c>
      <c r="Y16" s="11"/>
      <c r="Z16" s="11"/>
      <c r="AA16" s="11"/>
      <c r="AB16" s="11"/>
      <c r="AC16" s="11"/>
      <c r="AD16" s="11"/>
      <c r="AE16" s="11"/>
      <c r="AF16" s="11"/>
    </row>
    <row r="17" spans="1:32" ht="15.75" x14ac:dyDescent="0.25">
      <c r="A17" s="19" t="s">
        <v>24</v>
      </c>
      <c r="B17" s="6">
        <v>16</v>
      </c>
      <c r="C17" s="6">
        <v>0</v>
      </c>
      <c r="D17" s="6">
        <v>1</v>
      </c>
      <c r="E17" s="6">
        <v>0</v>
      </c>
      <c r="F17" s="6">
        <v>0</v>
      </c>
      <c r="G17" s="3">
        <v>85</v>
      </c>
      <c r="H17" s="7">
        <v>0</v>
      </c>
      <c r="I17" s="7">
        <v>0</v>
      </c>
      <c r="J17" s="9">
        <f t="shared" si="0"/>
        <v>0</v>
      </c>
      <c r="K17" s="9">
        <f t="shared" si="1"/>
        <v>0</v>
      </c>
      <c r="L17" s="9">
        <f t="shared" si="2"/>
        <v>0</v>
      </c>
      <c r="M17" s="9">
        <f t="shared" si="3"/>
        <v>0</v>
      </c>
      <c r="N17" s="9">
        <f t="shared" si="4"/>
        <v>0</v>
      </c>
      <c r="O17" s="9">
        <f t="shared" si="5"/>
        <v>0</v>
      </c>
      <c r="P17" s="9">
        <f t="shared" si="6"/>
        <v>0</v>
      </c>
      <c r="Q17" s="15">
        <f t="shared" si="7"/>
        <v>0</v>
      </c>
      <c r="R17" s="15">
        <f t="shared" si="8"/>
        <v>0</v>
      </c>
      <c r="S17" s="15">
        <f t="shared" si="9"/>
        <v>0</v>
      </c>
      <c r="T17" s="15">
        <f t="shared" si="10"/>
        <v>0</v>
      </c>
      <c r="U17" s="15">
        <f t="shared" si="11"/>
        <v>0</v>
      </c>
      <c r="V17" s="15">
        <f t="shared" si="12"/>
        <v>0</v>
      </c>
      <c r="W17" s="15">
        <f t="shared" si="13"/>
        <v>0</v>
      </c>
      <c r="X17" s="15">
        <f t="shared" si="14"/>
        <v>0</v>
      </c>
      <c r="Y17" s="11"/>
      <c r="Z17" s="11"/>
      <c r="AA17" s="11"/>
      <c r="AB17" s="11"/>
      <c r="AC17" s="11"/>
      <c r="AD17" s="11"/>
      <c r="AE17" s="11"/>
      <c r="AF17" s="11"/>
    </row>
    <row r="18" spans="1:32" ht="15.75" x14ac:dyDescent="0.25">
      <c r="A18" s="20" t="s">
        <v>4</v>
      </c>
      <c r="B18" s="6">
        <v>17</v>
      </c>
      <c r="C18" s="6">
        <v>0</v>
      </c>
      <c r="D18" s="6">
        <v>0</v>
      </c>
      <c r="E18" s="6">
        <v>1</v>
      </c>
      <c r="F18" s="6">
        <v>0</v>
      </c>
      <c r="G18" s="3">
        <v>97</v>
      </c>
      <c r="H18" s="7">
        <v>1</v>
      </c>
      <c r="I18" s="7">
        <v>0</v>
      </c>
      <c r="J18" s="9">
        <f t="shared" si="0"/>
        <v>1</v>
      </c>
      <c r="K18" s="9">
        <f t="shared" si="1"/>
        <v>0</v>
      </c>
      <c r="L18" s="9">
        <f t="shared" si="2"/>
        <v>1</v>
      </c>
      <c r="M18" s="9">
        <f t="shared" si="3"/>
        <v>0</v>
      </c>
      <c r="N18" s="9">
        <f t="shared" si="4"/>
        <v>0</v>
      </c>
      <c r="O18" s="9">
        <f t="shared" si="5"/>
        <v>1</v>
      </c>
      <c r="P18" s="9">
        <f t="shared" si="6"/>
        <v>0</v>
      </c>
      <c r="Q18" s="16">
        <f t="shared" si="7"/>
        <v>0</v>
      </c>
      <c r="R18" s="16">
        <f t="shared" si="8"/>
        <v>0</v>
      </c>
      <c r="S18" s="16">
        <f t="shared" si="9"/>
        <v>0</v>
      </c>
      <c r="T18" s="16">
        <f t="shared" si="10"/>
        <v>0</v>
      </c>
      <c r="U18" s="16">
        <f t="shared" si="11"/>
        <v>97</v>
      </c>
      <c r="V18" s="16">
        <f t="shared" si="12"/>
        <v>0</v>
      </c>
      <c r="W18" s="16">
        <f t="shared" si="13"/>
        <v>0</v>
      </c>
      <c r="X18" s="16">
        <f t="shared" si="14"/>
        <v>0</v>
      </c>
      <c r="Y18" s="11"/>
      <c r="Z18" s="11"/>
      <c r="AA18" s="11"/>
      <c r="AB18" s="11"/>
      <c r="AC18" s="11"/>
      <c r="AD18" s="11"/>
      <c r="AE18" s="11"/>
      <c r="AF18" s="11"/>
    </row>
    <row r="19" spans="1:32" ht="15.75" x14ac:dyDescent="0.25">
      <c r="A19" s="20" t="s">
        <v>12</v>
      </c>
      <c r="B19" s="6">
        <v>18</v>
      </c>
      <c r="C19" s="6">
        <v>0</v>
      </c>
      <c r="D19" s="6">
        <v>0</v>
      </c>
      <c r="E19" s="6">
        <v>1</v>
      </c>
      <c r="F19" s="6">
        <v>0</v>
      </c>
      <c r="G19" s="3">
        <v>68</v>
      </c>
      <c r="H19" s="7">
        <v>0</v>
      </c>
      <c r="I19" s="7">
        <v>0</v>
      </c>
      <c r="J19" s="9">
        <f t="shared" si="0"/>
        <v>0</v>
      </c>
      <c r="K19" s="9">
        <f t="shared" si="1"/>
        <v>0</v>
      </c>
      <c r="L19" s="9">
        <f t="shared" si="2"/>
        <v>0</v>
      </c>
      <c r="M19" s="9">
        <f t="shared" si="3"/>
        <v>0</v>
      </c>
      <c r="N19" s="9">
        <f t="shared" si="4"/>
        <v>0</v>
      </c>
      <c r="O19" s="9">
        <f t="shared" si="5"/>
        <v>0</v>
      </c>
      <c r="P19" s="9">
        <f t="shared" si="6"/>
        <v>0</v>
      </c>
      <c r="Q19" s="16">
        <f t="shared" si="7"/>
        <v>0</v>
      </c>
      <c r="R19" s="16">
        <f t="shared" si="8"/>
        <v>0</v>
      </c>
      <c r="S19" s="16">
        <f t="shared" si="9"/>
        <v>0</v>
      </c>
      <c r="T19" s="16">
        <f t="shared" si="10"/>
        <v>0</v>
      </c>
      <c r="U19" s="16">
        <f t="shared" si="11"/>
        <v>0</v>
      </c>
      <c r="V19" s="16">
        <f t="shared" si="12"/>
        <v>0</v>
      </c>
      <c r="W19" s="16">
        <f t="shared" si="13"/>
        <v>0</v>
      </c>
      <c r="X19" s="16">
        <f t="shared" si="14"/>
        <v>0</v>
      </c>
      <c r="Y19" s="11"/>
      <c r="Z19" s="11"/>
      <c r="AA19" s="11"/>
      <c r="AB19" s="11"/>
      <c r="AC19" s="11"/>
      <c r="AD19" s="11"/>
      <c r="AE19" s="11"/>
      <c r="AF19" s="11"/>
    </row>
    <row r="20" spans="1:32" ht="15.75" x14ac:dyDescent="0.25">
      <c r="A20" s="20" t="s">
        <v>1</v>
      </c>
      <c r="B20" s="6">
        <v>19</v>
      </c>
      <c r="C20" s="6">
        <v>0</v>
      </c>
      <c r="D20" s="6">
        <v>0</v>
      </c>
      <c r="E20" s="6">
        <v>1</v>
      </c>
      <c r="F20" s="6">
        <v>0</v>
      </c>
      <c r="G20" s="3">
        <v>95</v>
      </c>
      <c r="H20" s="7">
        <v>1</v>
      </c>
      <c r="I20" s="7">
        <v>0</v>
      </c>
      <c r="J20" s="9">
        <f t="shared" si="0"/>
        <v>1</v>
      </c>
      <c r="K20" s="9">
        <f t="shared" si="1"/>
        <v>0</v>
      </c>
      <c r="L20" s="9">
        <f t="shared" si="2"/>
        <v>1</v>
      </c>
      <c r="M20" s="9">
        <f t="shared" si="3"/>
        <v>0</v>
      </c>
      <c r="N20" s="9">
        <f t="shared" si="4"/>
        <v>0</v>
      </c>
      <c r="O20" s="9">
        <f t="shared" si="5"/>
        <v>1</v>
      </c>
      <c r="P20" s="9">
        <f t="shared" si="6"/>
        <v>0</v>
      </c>
      <c r="Q20" s="16">
        <f t="shared" si="7"/>
        <v>0</v>
      </c>
      <c r="R20" s="16">
        <f t="shared" si="8"/>
        <v>0</v>
      </c>
      <c r="S20" s="16">
        <f t="shared" si="9"/>
        <v>0</v>
      </c>
      <c r="T20" s="16">
        <f t="shared" si="10"/>
        <v>0</v>
      </c>
      <c r="U20" s="16">
        <f t="shared" si="11"/>
        <v>95</v>
      </c>
      <c r="V20" s="16">
        <f t="shared" si="12"/>
        <v>0</v>
      </c>
      <c r="W20" s="16">
        <f t="shared" si="13"/>
        <v>0</v>
      </c>
      <c r="X20" s="16">
        <f t="shared" si="14"/>
        <v>0</v>
      </c>
      <c r="Y20" s="11"/>
      <c r="Z20" s="11"/>
      <c r="AA20" s="11"/>
      <c r="AB20" s="11"/>
      <c r="AC20" s="11"/>
      <c r="AD20" s="11"/>
      <c r="AE20" s="11"/>
      <c r="AF20" s="11"/>
    </row>
    <row r="21" spans="1:32" ht="15.75" x14ac:dyDescent="0.25">
      <c r="A21" s="20" t="s">
        <v>13</v>
      </c>
      <c r="B21" s="6">
        <v>20</v>
      </c>
      <c r="C21" s="6">
        <v>0</v>
      </c>
      <c r="D21" s="6">
        <v>0</v>
      </c>
      <c r="E21" s="6">
        <v>1</v>
      </c>
      <c r="F21" s="6">
        <v>0</v>
      </c>
      <c r="G21" s="3">
        <v>86</v>
      </c>
      <c r="H21" s="7">
        <v>0</v>
      </c>
      <c r="I21" s="7">
        <v>0</v>
      </c>
      <c r="J21" s="9">
        <f t="shared" si="0"/>
        <v>0</v>
      </c>
      <c r="K21" s="9">
        <f t="shared" si="1"/>
        <v>0</v>
      </c>
      <c r="L21" s="9">
        <f t="shared" si="2"/>
        <v>0</v>
      </c>
      <c r="M21" s="9">
        <f t="shared" si="3"/>
        <v>0</v>
      </c>
      <c r="N21" s="9">
        <f t="shared" si="4"/>
        <v>0</v>
      </c>
      <c r="O21" s="9">
        <f t="shared" si="5"/>
        <v>0</v>
      </c>
      <c r="P21" s="9">
        <f t="shared" si="6"/>
        <v>0</v>
      </c>
      <c r="Q21" s="16">
        <f t="shared" si="7"/>
        <v>0</v>
      </c>
      <c r="R21" s="16">
        <f t="shared" si="8"/>
        <v>0</v>
      </c>
      <c r="S21" s="16">
        <f t="shared" si="9"/>
        <v>0</v>
      </c>
      <c r="T21" s="16">
        <f t="shared" si="10"/>
        <v>0</v>
      </c>
      <c r="U21" s="16">
        <f t="shared" si="11"/>
        <v>0</v>
      </c>
      <c r="V21" s="16">
        <f t="shared" si="12"/>
        <v>0</v>
      </c>
      <c r="W21" s="16">
        <f t="shared" si="13"/>
        <v>0</v>
      </c>
      <c r="X21" s="16">
        <f t="shared" si="14"/>
        <v>0</v>
      </c>
      <c r="Y21" s="11"/>
      <c r="Z21" s="11"/>
      <c r="AA21" s="11"/>
      <c r="AB21" s="11"/>
      <c r="AC21" s="11"/>
      <c r="AD21" s="11"/>
      <c r="AE21" s="11"/>
      <c r="AF21" s="11"/>
    </row>
    <row r="22" spans="1:32" ht="15.75" x14ac:dyDescent="0.25">
      <c r="A22" s="20" t="s">
        <v>10</v>
      </c>
      <c r="B22" s="6">
        <v>21</v>
      </c>
      <c r="C22" s="6">
        <v>0</v>
      </c>
      <c r="D22" s="6">
        <v>0</v>
      </c>
      <c r="E22" s="6">
        <v>1</v>
      </c>
      <c r="F22" s="6">
        <v>0</v>
      </c>
      <c r="G22" s="3">
        <v>99</v>
      </c>
      <c r="H22" s="7">
        <v>1</v>
      </c>
      <c r="I22" s="7">
        <v>0</v>
      </c>
      <c r="J22" s="9">
        <f t="shared" si="0"/>
        <v>1</v>
      </c>
      <c r="K22" s="9">
        <f t="shared" si="1"/>
        <v>0</v>
      </c>
      <c r="L22" s="9">
        <f t="shared" si="2"/>
        <v>1</v>
      </c>
      <c r="M22" s="9">
        <f t="shared" si="3"/>
        <v>0</v>
      </c>
      <c r="N22" s="9">
        <f t="shared" si="4"/>
        <v>0</v>
      </c>
      <c r="O22" s="9">
        <f t="shared" si="5"/>
        <v>1</v>
      </c>
      <c r="P22" s="9">
        <f t="shared" si="6"/>
        <v>0</v>
      </c>
      <c r="Q22" s="16">
        <f t="shared" si="7"/>
        <v>0</v>
      </c>
      <c r="R22" s="16">
        <f t="shared" si="8"/>
        <v>0</v>
      </c>
      <c r="S22" s="16">
        <f t="shared" si="9"/>
        <v>0</v>
      </c>
      <c r="T22" s="16">
        <f t="shared" si="10"/>
        <v>0</v>
      </c>
      <c r="U22" s="16">
        <f t="shared" si="11"/>
        <v>99</v>
      </c>
      <c r="V22" s="16">
        <f t="shared" si="12"/>
        <v>0</v>
      </c>
      <c r="W22" s="16">
        <f t="shared" si="13"/>
        <v>0</v>
      </c>
      <c r="X22" s="16">
        <f t="shared" si="14"/>
        <v>0</v>
      </c>
      <c r="Y22" s="11"/>
      <c r="Z22" s="11"/>
      <c r="AA22" s="11"/>
      <c r="AB22" s="11"/>
      <c r="AC22" s="11"/>
      <c r="AD22" s="11"/>
      <c r="AE22" s="11"/>
      <c r="AF22" s="11"/>
    </row>
    <row r="23" spans="1:32" ht="15.75" x14ac:dyDescent="0.25">
      <c r="A23" s="20" t="s">
        <v>2</v>
      </c>
      <c r="B23" s="6">
        <v>22</v>
      </c>
      <c r="C23" s="6">
        <v>0</v>
      </c>
      <c r="D23" s="6">
        <v>0</v>
      </c>
      <c r="E23" s="6">
        <v>1</v>
      </c>
      <c r="F23" s="6">
        <v>0</v>
      </c>
      <c r="G23" s="3">
        <v>87</v>
      </c>
      <c r="H23" s="7">
        <v>0</v>
      </c>
      <c r="I23" s="7">
        <v>0</v>
      </c>
      <c r="J23" s="9">
        <f t="shared" si="0"/>
        <v>0</v>
      </c>
      <c r="K23" s="9">
        <f t="shared" si="1"/>
        <v>0</v>
      </c>
      <c r="L23" s="9">
        <f t="shared" si="2"/>
        <v>0</v>
      </c>
      <c r="M23" s="9">
        <f t="shared" si="3"/>
        <v>0</v>
      </c>
      <c r="N23" s="9">
        <f t="shared" si="4"/>
        <v>0</v>
      </c>
      <c r="O23" s="9">
        <f t="shared" si="5"/>
        <v>0</v>
      </c>
      <c r="P23" s="9">
        <f t="shared" si="6"/>
        <v>0</v>
      </c>
      <c r="Q23" s="16">
        <f t="shared" si="7"/>
        <v>0</v>
      </c>
      <c r="R23" s="16">
        <f t="shared" si="8"/>
        <v>0</v>
      </c>
      <c r="S23" s="16">
        <f t="shared" si="9"/>
        <v>0</v>
      </c>
      <c r="T23" s="16">
        <f t="shared" si="10"/>
        <v>0</v>
      </c>
      <c r="U23" s="16">
        <f t="shared" si="11"/>
        <v>0</v>
      </c>
      <c r="V23" s="16">
        <f t="shared" si="12"/>
        <v>0</v>
      </c>
      <c r="W23" s="16">
        <f t="shared" si="13"/>
        <v>0</v>
      </c>
      <c r="X23" s="16">
        <f t="shared" si="14"/>
        <v>0</v>
      </c>
      <c r="Y23" s="11"/>
      <c r="Z23" s="11"/>
      <c r="AA23" s="11"/>
      <c r="AB23" s="11"/>
      <c r="AC23" s="11"/>
      <c r="AD23" s="11"/>
      <c r="AE23" s="11"/>
      <c r="AF23" s="11"/>
    </row>
    <row r="24" spans="1:32" ht="15.75" x14ac:dyDescent="0.25">
      <c r="A24" s="20" t="s">
        <v>19</v>
      </c>
      <c r="B24" s="6">
        <v>23</v>
      </c>
      <c r="C24" s="6">
        <v>0</v>
      </c>
      <c r="D24" s="6">
        <v>0</v>
      </c>
      <c r="E24" s="6">
        <v>1</v>
      </c>
      <c r="F24" s="6">
        <v>0</v>
      </c>
      <c r="G24" s="3">
        <v>80</v>
      </c>
      <c r="H24" s="7">
        <v>0</v>
      </c>
      <c r="I24" s="7">
        <v>0</v>
      </c>
      <c r="J24" s="9">
        <f t="shared" si="0"/>
        <v>0</v>
      </c>
      <c r="K24" s="9">
        <f t="shared" si="1"/>
        <v>0</v>
      </c>
      <c r="L24" s="9">
        <f t="shared" si="2"/>
        <v>0</v>
      </c>
      <c r="M24" s="9">
        <f t="shared" si="3"/>
        <v>0</v>
      </c>
      <c r="N24" s="9">
        <f t="shared" si="4"/>
        <v>0</v>
      </c>
      <c r="O24" s="9">
        <f t="shared" si="5"/>
        <v>0</v>
      </c>
      <c r="P24" s="9">
        <f t="shared" si="6"/>
        <v>0</v>
      </c>
      <c r="Q24" s="16">
        <f t="shared" si="7"/>
        <v>0</v>
      </c>
      <c r="R24" s="16">
        <f t="shared" si="8"/>
        <v>0</v>
      </c>
      <c r="S24" s="16">
        <f t="shared" si="9"/>
        <v>0</v>
      </c>
      <c r="T24" s="16">
        <f t="shared" si="10"/>
        <v>0</v>
      </c>
      <c r="U24" s="16">
        <f t="shared" si="11"/>
        <v>0</v>
      </c>
      <c r="V24" s="16">
        <f t="shared" si="12"/>
        <v>0</v>
      </c>
      <c r="W24" s="16">
        <f t="shared" si="13"/>
        <v>0</v>
      </c>
      <c r="X24" s="16">
        <f t="shared" si="14"/>
        <v>0</v>
      </c>
      <c r="Y24" s="11"/>
      <c r="Z24" s="11"/>
      <c r="AA24" s="11"/>
      <c r="AB24" s="11"/>
      <c r="AC24" s="11"/>
      <c r="AD24" s="11"/>
      <c r="AE24" s="11"/>
      <c r="AF24" s="11"/>
    </row>
    <row r="25" spans="1:32" ht="15.75" x14ac:dyDescent="0.25">
      <c r="A25" s="21" t="s">
        <v>5</v>
      </c>
      <c r="B25" s="6">
        <v>24</v>
      </c>
      <c r="C25" s="6">
        <v>0</v>
      </c>
      <c r="D25" s="6">
        <v>0</v>
      </c>
      <c r="E25" s="6">
        <v>0</v>
      </c>
      <c r="F25" s="6">
        <v>1</v>
      </c>
      <c r="G25" s="3">
        <v>99</v>
      </c>
      <c r="H25" s="7">
        <v>0</v>
      </c>
      <c r="I25" s="7">
        <v>1</v>
      </c>
      <c r="J25" s="9">
        <f t="shared" si="0"/>
        <v>1</v>
      </c>
      <c r="K25" s="9">
        <f t="shared" si="1"/>
        <v>0</v>
      </c>
      <c r="L25" s="9">
        <f t="shared" si="2"/>
        <v>1</v>
      </c>
      <c r="M25" s="9">
        <f t="shared" si="3"/>
        <v>0</v>
      </c>
      <c r="N25" s="9">
        <f t="shared" si="4"/>
        <v>0</v>
      </c>
      <c r="O25" s="9">
        <f t="shared" si="5"/>
        <v>0</v>
      </c>
      <c r="P25" s="9">
        <f t="shared" si="6"/>
        <v>0</v>
      </c>
      <c r="Q25" s="14">
        <f t="shared" si="7"/>
        <v>0</v>
      </c>
      <c r="R25" s="14">
        <f t="shared" si="8"/>
        <v>0</v>
      </c>
      <c r="S25" s="14">
        <f t="shared" si="9"/>
        <v>0</v>
      </c>
      <c r="T25" s="14">
        <f t="shared" si="10"/>
        <v>0</v>
      </c>
      <c r="U25" s="14">
        <f t="shared" si="11"/>
        <v>0</v>
      </c>
      <c r="V25" s="14">
        <f t="shared" si="12"/>
        <v>0</v>
      </c>
      <c r="W25" s="14">
        <f t="shared" si="13"/>
        <v>0</v>
      </c>
      <c r="X25" s="14">
        <f t="shared" si="14"/>
        <v>99</v>
      </c>
      <c r="Y25" s="11"/>
      <c r="Z25" s="11"/>
      <c r="AA25" s="11"/>
      <c r="AB25" s="11"/>
      <c r="AC25" s="11"/>
      <c r="AD25" s="11"/>
      <c r="AE25" s="11"/>
      <c r="AF25" s="11"/>
    </row>
    <row r="26" spans="1:32" ht="15.75" x14ac:dyDescent="0.25">
      <c r="A26" s="21" t="s">
        <v>18</v>
      </c>
      <c r="B26" s="6">
        <v>25</v>
      </c>
      <c r="C26" s="6">
        <v>0</v>
      </c>
      <c r="D26" s="6">
        <v>0</v>
      </c>
      <c r="E26" s="6">
        <v>0</v>
      </c>
      <c r="F26" s="6">
        <v>1</v>
      </c>
      <c r="G26" s="3">
        <v>99</v>
      </c>
      <c r="H26" s="7">
        <v>1</v>
      </c>
      <c r="I26" s="7">
        <v>0</v>
      </c>
      <c r="J26" s="9">
        <f t="shared" si="0"/>
        <v>1</v>
      </c>
      <c r="K26" s="9">
        <f t="shared" si="1"/>
        <v>0</v>
      </c>
      <c r="L26" s="9">
        <f t="shared" si="2"/>
        <v>1</v>
      </c>
      <c r="M26" s="9">
        <f t="shared" si="3"/>
        <v>0</v>
      </c>
      <c r="N26" s="9">
        <f t="shared" si="4"/>
        <v>0</v>
      </c>
      <c r="O26" s="9">
        <f t="shared" si="5"/>
        <v>0</v>
      </c>
      <c r="P26" s="9">
        <f t="shared" si="6"/>
        <v>1</v>
      </c>
      <c r="Q26" s="14">
        <f t="shared" si="7"/>
        <v>0</v>
      </c>
      <c r="R26" s="14">
        <f t="shared" si="8"/>
        <v>0</v>
      </c>
      <c r="S26" s="14">
        <f t="shared" si="9"/>
        <v>0</v>
      </c>
      <c r="T26" s="14">
        <f t="shared" si="10"/>
        <v>0</v>
      </c>
      <c r="U26" s="14">
        <f t="shared" si="11"/>
        <v>0</v>
      </c>
      <c r="V26" s="14">
        <f t="shared" si="12"/>
        <v>0</v>
      </c>
      <c r="W26" s="14">
        <f t="shared" si="13"/>
        <v>99</v>
      </c>
      <c r="X26" s="14">
        <f t="shared" si="14"/>
        <v>0</v>
      </c>
      <c r="Y26" s="11"/>
      <c r="Z26" s="11"/>
      <c r="AA26" s="11"/>
      <c r="AB26" s="11"/>
      <c r="AC26" s="11"/>
      <c r="AD26" s="11"/>
      <c r="AE26" s="11"/>
      <c r="AF26" s="11"/>
    </row>
    <row r="27" spans="1:32" ht="15.75" x14ac:dyDescent="0.25">
      <c r="A27" s="21" t="s">
        <v>20</v>
      </c>
      <c r="B27" s="6">
        <v>26</v>
      </c>
      <c r="C27" s="6">
        <v>0</v>
      </c>
      <c r="D27" s="6">
        <v>0</v>
      </c>
      <c r="E27" s="6">
        <v>0</v>
      </c>
      <c r="F27" s="6">
        <v>1</v>
      </c>
      <c r="G27" s="3">
        <v>94</v>
      </c>
      <c r="H27" s="7">
        <v>0</v>
      </c>
      <c r="I27" s="7">
        <v>0</v>
      </c>
      <c r="J27" s="9">
        <f t="shared" si="0"/>
        <v>0</v>
      </c>
      <c r="K27" s="9">
        <f t="shared" si="1"/>
        <v>0</v>
      </c>
      <c r="L27" s="9">
        <f t="shared" si="2"/>
        <v>0</v>
      </c>
      <c r="M27" s="9">
        <f t="shared" si="3"/>
        <v>0</v>
      </c>
      <c r="N27" s="9">
        <f t="shared" si="4"/>
        <v>0</v>
      </c>
      <c r="O27" s="9">
        <f t="shared" si="5"/>
        <v>0</v>
      </c>
      <c r="P27" s="9">
        <f t="shared" si="6"/>
        <v>0</v>
      </c>
      <c r="Q27" s="14">
        <f t="shared" si="7"/>
        <v>0</v>
      </c>
      <c r="R27" s="14">
        <f t="shared" si="8"/>
        <v>0</v>
      </c>
      <c r="S27" s="14">
        <f t="shared" si="9"/>
        <v>0</v>
      </c>
      <c r="T27" s="14">
        <f t="shared" si="10"/>
        <v>0</v>
      </c>
      <c r="U27" s="14">
        <f t="shared" si="11"/>
        <v>0</v>
      </c>
      <c r="V27" s="14">
        <f t="shared" si="12"/>
        <v>0</v>
      </c>
      <c r="W27" s="14">
        <f t="shared" si="13"/>
        <v>0</v>
      </c>
      <c r="X27" s="14">
        <f t="shared" si="14"/>
        <v>0</v>
      </c>
      <c r="Y27" s="11"/>
      <c r="Z27" s="11"/>
      <c r="AA27" s="11"/>
      <c r="AB27" s="11"/>
      <c r="AC27" s="11"/>
      <c r="AD27" s="11"/>
      <c r="AE27" s="11"/>
      <c r="AF27" s="11"/>
    </row>
    <row r="28" spans="1:32" ht="15.75" x14ac:dyDescent="0.25">
      <c r="A28" s="21" t="s">
        <v>23</v>
      </c>
      <c r="B28" s="6">
        <v>27</v>
      </c>
      <c r="C28" s="6">
        <v>0</v>
      </c>
      <c r="D28" s="6">
        <v>0</v>
      </c>
      <c r="E28" s="6">
        <v>0</v>
      </c>
      <c r="F28" s="6">
        <v>1</v>
      </c>
      <c r="G28" s="3">
        <v>62</v>
      </c>
      <c r="H28" s="7">
        <v>0</v>
      </c>
      <c r="I28" s="7">
        <v>0</v>
      </c>
      <c r="J28" s="9">
        <f t="shared" si="0"/>
        <v>0</v>
      </c>
      <c r="K28" s="9">
        <f t="shared" si="1"/>
        <v>0</v>
      </c>
      <c r="L28" s="9">
        <f t="shared" si="2"/>
        <v>0</v>
      </c>
      <c r="M28" s="9">
        <f t="shared" si="3"/>
        <v>0</v>
      </c>
      <c r="N28" s="9">
        <f t="shared" si="4"/>
        <v>0</v>
      </c>
      <c r="O28" s="9">
        <f t="shared" si="5"/>
        <v>0</v>
      </c>
      <c r="P28" s="9">
        <f t="shared" si="6"/>
        <v>0</v>
      </c>
      <c r="Q28" s="14">
        <f t="shared" si="7"/>
        <v>0</v>
      </c>
      <c r="R28" s="14">
        <f t="shared" si="8"/>
        <v>0</v>
      </c>
      <c r="S28" s="14">
        <f t="shared" si="9"/>
        <v>0</v>
      </c>
      <c r="T28" s="14">
        <f t="shared" si="10"/>
        <v>0</v>
      </c>
      <c r="U28" s="14">
        <f t="shared" si="11"/>
        <v>0</v>
      </c>
      <c r="V28" s="14">
        <f t="shared" si="12"/>
        <v>0</v>
      </c>
      <c r="W28" s="14">
        <f t="shared" si="13"/>
        <v>0</v>
      </c>
      <c r="X28" s="14">
        <f t="shared" si="14"/>
        <v>0</v>
      </c>
      <c r="Y28" s="11"/>
      <c r="Z28" s="11"/>
      <c r="AA28" s="11"/>
      <c r="AB28" s="11"/>
      <c r="AC28" s="11"/>
      <c r="AD28" s="11"/>
      <c r="AE28" s="11"/>
      <c r="AF28" s="11"/>
    </row>
    <row r="29" spans="1:32" ht="15.75" x14ac:dyDescent="0.25">
      <c r="A29" s="21" t="s">
        <v>38</v>
      </c>
      <c r="B29" s="6">
        <v>28</v>
      </c>
      <c r="C29" s="6">
        <v>0</v>
      </c>
      <c r="D29" s="6">
        <v>0</v>
      </c>
      <c r="E29" s="6">
        <v>0</v>
      </c>
      <c r="F29" s="6">
        <v>1</v>
      </c>
      <c r="G29" s="3">
        <v>98</v>
      </c>
      <c r="H29" s="7">
        <v>1</v>
      </c>
      <c r="I29" s="7">
        <v>0</v>
      </c>
      <c r="J29" s="9">
        <f t="shared" si="0"/>
        <v>1</v>
      </c>
      <c r="K29" s="9">
        <f t="shared" si="1"/>
        <v>0</v>
      </c>
      <c r="L29" s="9">
        <f t="shared" si="2"/>
        <v>1</v>
      </c>
      <c r="M29" s="9">
        <f t="shared" si="3"/>
        <v>0</v>
      </c>
      <c r="N29" s="9">
        <f t="shared" si="4"/>
        <v>0</v>
      </c>
      <c r="O29" s="9">
        <f t="shared" si="5"/>
        <v>0</v>
      </c>
      <c r="P29" s="9">
        <f t="shared" si="6"/>
        <v>1</v>
      </c>
      <c r="Q29" s="14">
        <f t="shared" si="7"/>
        <v>0</v>
      </c>
      <c r="R29" s="14">
        <f t="shared" si="8"/>
        <v>0</v>
      </c>
      <c r="S29" s="14">
        <f t="shared" si="9"/>
        <v>0</v>
      </c>
      <c r="T29" s="14">
        <f t="shared" si="10"/>
        <v>0</v>
      </c>
      <c r="U29" s="14">
        <f t="shared" si="11"/>
        <v>0</v>
      </c>
      <c r="V29" s="14">
        <f t="shared" si="12"/>
        <v>0</v>
      </c>
      <c r="W29" s="14">
        <f t="shared" si="13"/>
        <v>98</v>
      </c>
      <c r="X29" s="14">
        <f t="shared" si="14"/>
        <v>0</v>
      </c>
      <c r="Y29" s="11"/>
      <c r="Z29" s="11"/>
      <c r="AA29" s="11"/>
      <c r="AB29" s="11"/>
      <c r="AC29" s="11"/>
      <c r="AD29" s="11"/>
      <c r="AE29" s="11"/>
      <c r="AF29" s="11"/>
    </row>
    <row r="30" spans="1:32" ht="15.75" x14ac:dyDescent="0.25">
      <c r="A30" s="21" t="s">
        <v>6</v>
      </c>
      <c r="B30" s="6">
        <v>29</v>
      </c>
      <c r="C30" s="6">
        <v>0</v>
      </c>
      <c r="D30" s="6">
        <v>0</v>
      </c>
      <c r="E30" s="6">
        <v>0</v>
      </c>
      <c r="F30" s="6">
        <v>1</v>
      </c>
      <c r="G30" s="3">
        <v>105</v>
      </c>
      <c r="H30" s="7">
        <v>0</v>
      </c>
      <c r="I30" s="7">
        <v>1</v>
      </c>
      <c r="J30" s="9">
        <f t="shared" si="0"/>
        <v>1</v>
      </c>
      <c r="K30" s="9">
        <f t="shared" si="1"/>
        <v>0</v>
      </c>
      <c r="L30" s="9">
        <f t="shared" si="2"/>
        <v>1</v>
      </c>
      <c r="M30" s="9">
        <f t="shared" si="3"/>
        <v>0</v>
      </c>
      <c r="N30" s="9">
        <f t="shared" si="4"/>
        <v>0</v>
      </c>
      <c r="O30" s="9">
        <f t="shared" si="5"/>
        <v>0</v>
      </c>
      <c r="P30" s="9">
        <f t="shared" si="6"/>
        <v>0</v>
      </c>
      <c r="Q30" s="14">
        <f t="shared" si="7"/>
        <v>0</v>
      </c>
      <c r="R30" s="14">
        <f t="shared" si="8"/>
        <v>0</v>
      </c>
      <c r="S30" s="14">
        <f t="shared" si="9"/>
        <v>0</v>
      </c>
      <c r="T30" s="14">
        <f t="shared" si="10"/>
        <v>0</v>
      </c>
      <c r="U30" s="14">
        <f t="shared" si="11"/>
        <v>0</v>
      </c>
      <c r="V30" s="14">
        <f t="shared" si="12"/>
        <v>0</v>
      </c>
      <c r="W30" s="14">
        <f t="shared" si="13"/>
        <v>0</v>
      </c>
      <c r="X30" s="14">
        <f t="shared" si="14"/>
        <v>105</v>
      </c>
      <c r="Y30" s="11"/>
      <c r="Z30" s="11"/>
      <c r="AA30" s="11"/>
      <c r="AB30" s="11"/>
      <c r="AC30" s="11"/>
      <c r="AD30" s="11"/>
      <c r="AE30" s="11"/>
      <c r="AF30" s="11"/>
    </row>
    <row r="31" spans="1:32" ht="15.75" x14ac:dyDescent="0.25">
      <c r="A31" s="21" t="s">
        <v>22</v>
      </c>
      <c r="B31" s="6">
        <v>30</v>
      </c>
      <c r="C31" s="6">
        <v>0</v>
      </c>
      <c r="D31" s="6">
        <v>0</v>
      </c>
      <c r="E31" s="6">
        <v>0</v>
      </c>
      <c r="F31" s="6">
        <v>1</v>
      </c>
      <c r="G31" s="3">
        <v>117</v>
      </c>
      <c r="H31" s="7">
        <v>1</v>
      </c>
      <c r="I31" s="7">
        <v>0</v>
      </c>
      <c r="J31" s="9">
        <f t="shared" si="0"/>
        <v>1</v>
      </c>
      <c r="K31" s="9">
        <f t="shared" si="1"/>
        <v>0</v>
      </c>
      <c r="L31" s="9">
        <f t="shared" si="2"/>
        <v>1</v>
      </c>
      <c r="M31" s="9">
        <f t="shared" si="3"/>
        <v>0</v>
      </c>
      <c r="N31" s="9">
        <f t="shared" si="4"/>
        <v>0</v>
      </c>
      <c r="O31" s="9">
        <f t="shared" si="5"/>
        <v>0</v>
      </c>
      <c r="P31" s="9">
        <f t="shared" si="6"/>
        <v>1</v>
      </c>
      <c r="Q31" s="14">
        <f t="shared" si="7"/>
        <v>0</v>
      </c>
      <c r="R31" s="14">
        <f t="shared" si="8"/>
        <v>0</v>
      </c>
      <c r="S31" s="14">
        <f t="shared" si="9"/>
        <v>0</v>
      </c>
      <c r="T31" s="14">
        <f t="shared" si="10"/>
        <v>0</v>
      </c>
      <c r="U31" s="14">
        <f t="shared" si="11"/>
        <v>0</v>
      </c>
      <c r="V31" s="14">
        <f t="shared" si="12"/>
        <v>0</v>
      </c>
      <c r="W31" s="14">
        <f t="shared" si="13"/>
        <v>117</v>
      </c>
      <c r="X31" s="14">
        <f t="shared" si="14"/>
        <v>0</v>
      </c>
      <c r="Y31" s="11"/>
      <c r="Z31" s="11"/>
      <c r="AA31" s="11"/>
      <c r="AB31" s="11"/>
      <c r="AC31" s="11"/>
      <c r="AD31" s="11"/>
      <c r="AE31" s="11"/>
      <c r="AF31" s="11"/>
    </row>
    <row r="32" spans="1:32" ht="15.75" x14ac:dyDescent="0.25">
      <c r="A32" s="2"/>
      <c r="B32" s="2"/>
      <c r="C32" s="2"/>
      <c r="D32" s="2"/>
      <c r="E32" s="2"/>
      <c r="F32" s="1"/>
    </row>
    <row r="33" spans="1:22" ht="15.75" x14ac:dyDescent="0.25">
      <c r="A33" s="2" t="s">
        <v>45</v>
      </c>
      <c r="B33" s="2"/>
      <c r="C33" s="2"/>
      <c r="D33" s="2"/>
      <c r="E33" s="2"/>
      <c r="F33" s="1"/>
      <c r="H33">
        <f>SUM(H2:H31)</f>
        <v>12</v>
      </c>
      <c r="I33">
        <f>SUM(I2:I31)</f>
        <v>4</v>
      </c>
      <c r="K33">
        <f>SUM(K2:K31)</f>
        <v>8</v>
      </c>
      <c r="L33">
        <f>SUM(L2:L31)</f>
        <v>8</v>
      </c>
      <c r="N33" s="6"/>
      <c r="O33" t="s">
        <v>74</v>
      </c>
      <c r="U33" s="17"/>
      <c r="V33" t="s">
        <v>60</v>
      </c>
    </row>
    <row r="34" spans="1:22" ht="15.75" x14ac:dyDescent="0.25">
      <c r="A34" s="2"/>
      <c r="B34" s="2"/>
      <c r="C34" s="2"/>
      <c r="D34" s="2"/>
      <c r="E34" s="2"/>
      <c r="F34" s="1"/>
      <c r="N34" s="9"/>
      <c r="O34" t="s">
        <v>75</v>
      </c>
      <c r="U34" s="15"/>
      <c r="V34" t="s">
        <v>59</v>
      </c>
    </row>
    <row r="35" spans="1:22" ht="15.75" x14ac:dyDescent="0.25">
      <c r="A35" s="2" t="s">
        <v>36</v>
      </c>
      <c r="B35" s="2"/>
      <c r="C35" s="2"/>
      <c r="D35" s="2"/>
      <c r="E35" s="2"/>
      <c r="F35" s="1"/>
      <c r="N35" s="7"/>
      <c r="O35" t="s">
        <v>76</v>
      </c>
      <c r="U35" s="12"/>
      <c r="V35" t="s">
        <v>61</v>
      </c>
    </row>
    <row r="36" spans="1:22" ht="15.75" x14ac:dyDescent="0.25">
      <c r="A36" s="1" t="s">
        <v>35</v>
      </c>
      <c r="B36">
        <f>SUMPRODUCT(G2:G31,H2:H31)</f>
        <v>1227</v>
      </c>
      <c r="N36" s="3"/>
      <c r="O36" t="s">
        <v>77</v>
      </c>
      <c r="U36" s="14"/>
      <c r="V36" t="s">
        <v>62</v>
      </c>
    </row>
    <row r="37" spans="1:22" ht="15.75" x14ac:dyDescent="0.25">
      <c r="A37" s="1" t="s">
        <v>34</v>
      </c>
      <c r="B37">
        <f>SUMPRODUCT(G2:G31,I2:I31)</f>
        <v>403</v>
      </c>
    </row>
    <row r="39" spans="1:22" ht="15.75" x14ac:dyDescent="0.25">
      <c r="A39" s="1" t="s">
        <v>33</v>
      </c>
      <c r="B39">
        <f>B36+B37</f>
        <v>1630</v>
      </c>
    </row>
    <row r="41" spans="1:22" ht="15.75" x14ac:dyDescent="0.25">
      <c r="A41" s="1" t="s">
        <v>47</v>
      </c>
    </row>
    <row r="42" spans="1:22" x14ac:dyDescent="0.25">
      <c r="B42">
        <f>SUM(H2:H31) +SUM(I2:I31)</f>
        <v>16</v>
      </c>
      <c r="C42" t="s">
        <v>48</v>
      </c>
      <c r="D42">
        <v>16</v>
      </c>
    </row>
    <row r="43" spans="1:22" x14ac:dyDescent="0.25">
      <c r="C43" t="s">
        <v>49</v>
      </c>
      <c r="D43">
        <v>1</v>
      </c>
    </row>
    <row r="44" spans="1:22" x14ac:dyDescent="0.25">
      <c r="B44">
        <f>SUM(K2:K31)</f>
        <v>8</v>
      </c>
      <c r="C44" t="s">
        <v>49</v>
      </c>
      <c r="D44">
        <v>8</v>
      </c>
    </row>
    <row r="45" spans="1:22" x14ac:dyDescent="0.25">
      <c r="B45">
        <f>SUM(L2:L31)</f>
        <v>8</v>
      </c>
      <c r="C45" t="s">
        <v>49</v>
      </c>
      <c r="D45">
        <v>8</v>
      </c>
    </row>
    <row r="47" spans="1:22" x14ac:dyDescent="0.25">
      <c r="A47" t="s">
        <v>54</v>
      </c>
      <c r="B47">
        <f>SUM(M2:M31)</f>
        <v>3</v>
      </c>
      <c r="C47" t="s">
        <v>48</v>
      </c>
      <c r="D47">
        <f>SUM(N2:N31)</f>
        <v>3</v>
      </c>
    </row>
    <row r="48" spans="1:22" x14ac:dyDescent="0.25">
      <c r="A48" t="s">
        <v>55</v>
      </c>
      <c r="B48">
        <f>SUM(O2:O31)</f>
        <v>3</v>
      </c>
      <c r="C48" t="s">
        <v>48</v>
      </c>
      <c r="D48">
        <f>SUM(P2:P31)</f>
        <v>3</v>
      </c>
    </row>
    <row r="50" spans="1:4" x14ac:dyDescent="0.25">
      <c r="A50" t="s">
        <v>57</v>
      </c>
      <c r="B50">
        <f>B47</f>
        <v>3</v>
      </c>
      <c r="C50" t="s">
        <v>56</v>
      </c>
      <c r="D50">
        <f>B48</f>
        <v>3</v>
      </c>
    </row>
    <row r="51" spans="1:4" x14ac:dyDescent="0.25">
      <c r="B51" t="s">
        <v>58</v>
      </c>
    </row>
  </sheetData>
  <autoFilter ref="A1:X31">
    <sortState ref="A2:X31">
      <sortCondition ref="B1:B31"/>
    </sortState>
  </autoFilter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51"/>
  <sheetViews>
    <sheetView topLeftCell="A31" workbookViewId="0">
      <selection activeCell="G40" sqref="G40"/>
    </sheetView>
  </sheetViews>
  <sheetFormatPr defaultRowHeight="15" x14ac:dyDescent="0.25"/>
  <cols>
    <col min="1" max="1" width="21" bestFit="1" customWidth="1"/>
    <col min="25" max="25" width="7.28515625" customWidth="1"/>
    <col min="26" max="26" width="6.7109375" customWidth="1"/>
    <col min="27" max="27" width="6.5703125" customWidth="1"/>
  </cols>
  <sheetData>
    <row r="1" spans="1:32" ht="47.25" x14ac:dyDescent="0.25">
      <c r="A1" s="4" t="s">
        <v>25</v>
      </c>
      <c r="B1" s="4" t="s">
        <v>37</v>
      </c>
      <c r="C1" s="4" t="s">
        <v>28</v>
      </c>
      <c r="D1" s="4" t="s">
        <v>29</v>
      </c>
      <c r="E1" s="4" t="s">
        <v>30</v>
      </c>
      <c r="F1" s="4" t="s">
        <v>31</v>
      </c>
      <c r="G1" s="5" t="s">
        <v>32</v>
      </c>
      <c r="H1" s="5" t="s">
        <v>26</v>
      </c>
      <c r="I1" s="5" t="s">
        <v>27</v>
      </c>
      <c r="J1" s="13" t="s">
        <v>46</v>
      </c>
      <c r="K1" s="13" t="s">
        <v>43</v>
      </c>
      <c r="L1" s="13" t="s">
        <v>44</v>
      </c>
      <c r="M1" s="8" t="s">
        <v>51</v>
      </c>
      <c r="N1" s="8" t="s">
        <v>50</v>
      </c>
      <c r="O1" s="8" t="s">
        <v>52</v>
      </c>
      <c r="P1" s="8" t="s">
        <v>53</v>
      </c>
      <c r="Q1" s="8" t="s">
        <v>66</v>
      </c>
      <c r="R1" s="8" t="s">
        <v>67</v>
      </c>
      <c r="S1" s="8" t="s">
        <v>68</v>
      </c>
      <c r="T1" s="8" t="s">
        <v>69</v>
      </c>
      <c r="U1" s="8" t="s">
        <v>70</v>
      </c>
      <c r="V1" s="8" t="s">
        <v>71</v>
      </c>
      <c r="W1" s="8" t="s">
        <v>72</v>
      </c>
      <c r="X1" s="8" t="s">
        <v>73</v>
      </c>
      <c r="Y1" s="8"/>
      <c r="Z1" s="8"/>
      <c r="AA1" s="8"/>
      <c r="AB1" s="8"/>
    </row>
    <row r="2" spans="1:32" ht="15.75" x14ac:dyDescent="0.25">
      <c r="A2" s="18" t="s">
        <v>16</v>
      </c>
      <c r="B2" s="6">
        <v>1</v>
      </c>
      <c r="C2" s="6">
        <v>1</v>
      </c>
      <c r="D2" s="6">
        <v>0</v>
      </c>
      <c r="E2" s="6">
        <v>0</v>
      </c>
      <c r="F2" s="6">
        <v>0</v>
      </c>
      <c r="G2" s="3">
        <v>82</v>
      </c>
      <c r="H2" s="7">
        <v>1</v>
      </c>
      <c r="I2" s="7">
        <v>0</v>
      </c>
      <c r="J2" s="9">
        <f t="shared" ref="J2:J31" si="0">H2+I2</f>
        <v>1</v>
      </c>
      <c r="K2" s="9">
        <f t="shared" ref="K2:K31" si="1">(C2+D2)*(H2+I2)</f>
        <v>1</v>
      </c>
      <c r="L2" s="9">
        <f t="shared" ref="L2:L31" si="2">(E2+F2)*(H2+I2)</f>
        <v>0</v>
      </c>
      <c r="M2" s="9">
        <f t="shared" ref="M2:M31" si="3">C2*H2</f>
        <v>1</v>
      </c>
      <c r="N2" s="9">
        <f t="shared" ref="N2:N31" si="4">D2*H2</f>
        <v>0</v>
      </c>
      <c r="O2" s="9">
        <f t="shared" ref="O2:O31" si="5">E2*H2</f>
        <v>0</v>
      </c>
      <c r="P2" s="9">
        <f t="shared" ref="P2:P31" si="6">F2*H2</f>
        <v>0</v>
      </c>
      <c r="Q2" s="17">
        <f t="shared" ref="Q2:Q31" si="7">H2*G2*C2</f>
        <v>82</v>
      </c>
      <c r="R2" s="17">
        <f t="shared" ref="R2:R31" si="8">I2*G2*C2</f>
        <v>0</v>
      </c>
      <c r="S2" s="17">
        <f t="shared" ref="S2:S31" si="9">H2*G2*D2</f>
        <v>0</v>
      </c>
      <c r="T2" s="17">
        <f t="shared" ref="T2:T31" si="10">I2*G2*D2</f>
        <v>0</v>
      </c>
      <c r="U2" s="17">
        <f t="shared" ref="U2:U31" si="11">H2*G2*E2</f>
        <v>0</v>
      </c>
      <c r="V2" s="17">
        <f t="shared" ref="V2:V31" si="12">I2*G2*E2</f>
        <v>0</v>
      </c>
      <c r="W2" s="17">
        <f t="shared" ref="W2:W31" si="13">H2*G2*F2</f>
        <v>0</v>
      </c>
      <c r="X2" s="17">
        <f t="shared" ref="X2:X31" si="14">I2*G2*F2</f>
        <v>0</v>
      </c>
      <c r="Y2" s="11"/>
      <c r="Z2" s="11"/>
      <c r="AA2" s="11"/>
      <c r="AB2" s="11"/>
      <c r="AC2" s="11"/>
      <c r="AD2" s="11"/>
      <c r="AE2" s="11"/>
      <c r="AF2" s="11"/>
    </row>
    <row r="3" spans="1:32" ht="14.25" customHeight="1" x14ac:dyDescent="0.25">
      <c r="A3" s="18" t="s">
        <v>21</v>
      </c>
      <c r="B3" s="6">
        <v>2</v>
      </c>
      <c r="C3" s="6">
        <v>1</v>
      </c>
      <c r="D3" s="6">
        <v>0</v>
      </c>
      <c r="E3" s="6">
        <v>0</v>
      </c>
      <c r="F3" s="6">
        <v>0</v>
      </c>
      <c r="G3" s="3">
        <v>65</v>
      </c>
      <c r="H3" s="7">
        <v>0</v>
      </c>
      <c r="I3" s="7">
        <v>0</v>
      </c>
      <c r="J3" s="9">
        <f t="shared" si="0"/>
        <v>0</v>
      </c>
      <c r="K3" s="9">
        <f t="shared" si="1"/>
        <v>0</v>
      </c>
      <c r="L3" s="9">
        <f t="shared" si="2"/>
        <v>0</v>
      </c>
      <c r="M3" s="9">
        <f t="shared" si="3"/>
        <v>0</v>
      </c>
      <c r="N3" s="9">
        <f t="shared" si="4"/>
        <v>0</v>
      </c>
      <c r="O3" s="9">
        <f t="shared" si="5"/>
        <v>0</v>
      </c>
      <c r="P3" s="9">
        <f t="shared" si="6"/>
        <v>0</v>
      </c>
      <c r="Q3" s="17">
        <f t="shared" si="7"/>
        <v>0</v>
      </c>
      <c r="R3" s="17">
        <f t="shared" si="8"/>
        <v>0</v>
      </c>
      <c r="S3" s="17">
        <f t="shared" si="9"/>
        <v>0</v>
      </c>
      <c r="T3" s="17">
        <f t="shared" si="10"/>
        <v>0</v>
      </c>
      <c r="U3" s="17">
        <f t="shared" si="11"/>
        <v>0</v>
      </c>
      <c r="V3" s="17">
        <f t="shared" si="12"/>
        <v>0</v>
      </c>
      <c r="W3" s="17">
        <f t="shared" si="13"/>
        <v>0</v>
      </c>
      <c r="X3" s="17">
        <f t="shared" si="14"/>
        <v>0</v>
      </c>
      <c r="Y3" s="11"/>
      <c r="Z3" s="11"/>
      <c r="AA3" s="11"/>
      <c r="AB3" s="11"/>
      <c r="AC3" s="11"/>
      <c r="AD3" s="11"/>
      <c r="AE3" s="11"/>
      <c r="AF3" s="11"/>
    </row>
    <row r="4" spans="1:32" ht="15.75" x14ac:dyDescent="0.25">
      <c r="A4" s="18" t="s">
        <v>39</v>
      </c>
      <c r="B4" s="6">
        <v>3</v>
      </c>
      <c r="C4" s="6">
        <v>1</v>
      </c>
      <c r="D4" s="6">
        <v>0</v>
      </c>
      <c r="E4" s="6">
        <v>0</v>
      </c>
      <c r="F4" s="6">
        <v>0</v>
      </c>
      <c r="G4" s="3">
        <v>102</v>
      </c>
      <c r="H4" s="7">
        <v>1</v>
      </c>
      <c r="I4" s="7">
        <v>0</v>
      </c>
      <c r="J4" s="9">
        <f t="shared" si="0"/>
        <v>1</v>
      </c>
      <c r="K4" s="9">
        <f t="shared" si="1"/>
        <v>1</v>
      </c>
      <c r="L4" s="9">
        <f t="shared" si="2"/>
        <v>0</v>
      </c>
      <c r="M4" s="9">
        <f t="shared" si="3"/>
        <v>1</v>
      </c>
      <c r="N4" s="9">
        <f t="shared" si="4"/>
        <v>0</v>
      </c>
      <c r="O4" s="9">
        <f t="shared" si="5"/>
        <v>0</v>
      </c>
      <c r="P4" s="9">
        <f t="shared" si="6"/>
        <v>0</v>
      </c>
      <c r="Q4" s="17">
        <f t="shared" si="7"/>
        <v>102</v>
      </c>
      <c r="R4" s="17">
        <f t="shared" si="8"/>
        <v>0</v>
      </c>
      <c r="S4" s="17">
        <f t="shared" si="9"/>
        <v>0</v>
      </c>
      <c r="T4" s="17">
        <f t="shared" si="10"/>
        <v>0</v>
      </c>
      <c r="U4" s="17">
        <f t="shared" si="11"/>
        <v>0</v>
      </c>
      <c r="V4" s="17">
        <f t="shared" si="12"/>
        <v>0</v>
      </c>
      <c r="W4" s="17">
        <f t="shared" si="13"/>
        <v>0</v>
      </c>
      <c r="X4" s="17">
        <f t="shared" si="14"/>
        <v>0</v>
      </c>
      <c r="Y4" s="11"/>
      <c r="Z4" s="11"/>
      <c r="AA4" s="11"/>
      <c r="AB4" s="11"/>
      <c r="AC4" s="11"/>
      <c r="AD4" s="11"/>
      <c r="AE4" s="11"/>
      <c r="AF4" s="11"/>
    </row>
    <row r="5" spans="1:32" ht="15.75" x14ac:dyDescent="0.25">
      <c r="A5" s="18" t="s">
        <v>40</v>
      </c>
      <c r="B5" s="6">
        <v>4</v>
      </c>
      <c r="C5" s="6">
        <v>1</v>
      </c>
      <c r="D5" s="6">
        <v>0</v>
      </c>
      <c r="E5" s="6">
        <v>0</v>
      </c>
      <c r="F5" s="6">
        <v>0</v>
      </c>
      <c r="G5" s="3">
        <v>79</v>
      </c>
      <c r="H5" s="7">
        <v>0</v>
      </c>
      <c r="I5" s="7">
        <v>0</v>
      </c>
      <c r="J5" s="9">
        <f t="shared" si="0"/>
        <v>0</v>
      </c>
      <c r="K5" s="9">
        <f t="shared" si="1"/>
        <v>0</v>
      </c>
      <c r="L5" s="9">
        <f t="shared" si="2"/>
        <v>0</v>
      </c>
      <c r="M5" s="9">
        <f t="shared" si="3"/>
        <v>0</v>
      </c>
      <c r="N5" s="9">
        <f t="shared" si="4"/>
        <v>0</v>
      </c>
      <c r="O5" s="9">
        <f t="shared" si="5"/>
        <v>0</v>
      </c>
      <c r="P5" s="9">
        <f t="shared" si="6"/>
        <v>0</v>
      </c>
      <c r="Q5" s="17">
        <f t="shared" si="7"/>
        <v>0</v>
      </c>
      <c r="R5" s="17">
        <f t="shared" si="8"/>
        <v>0</v>
      </c>
      <c r="S5" s="17">
        <f t="shared" si="9"/>
        <v>0</v>
      </c>
      <c r="T5" s="17">
        <f t="shared" si="10"/>
        <v>0</v>
      </c>
      <c r="U5" s="17">
        <f t="shared" si="11"/>
        <v>0</v>
      </c>
      <c r="V5" s="17">
        <f t="shared" si="12"/>
        <v>0</v>
      </c>
      <c r="W5" s="17">
        <f t="shared" si="13"/>
        <v>0</v>
      </c>
      <c r="X5" s="17">
        <f t="shared" si="14"/>
        <v>0</v>
      </c>
      <c r="Y5" s="11"/>
      <c r="Z5" s="11"/>
      <c r="AA5" s="11"/>
      <c r="AB5" s="11"/>
      <c r="AC5" s="11"/>
      <c r="AD5" s="11"/>
      <c r="AE5" s="11"/>
      <c r="AF5" s="11"/>
    </row>
    <row r="6" spans="1:32" ht="15.75" x14ac:dyDescent="0.25">
      <c r="A6" s="18" t="s">
        <v>41</v>
      </c>
      <c r="B6" s="6">
        <v>5</v>
      </c>
      <c r="C6" s="6">
        <v>1</v>
      </c>
      <c r="D6" s="6">
        <v>0</v>
      </c>
      <c r="E6" s="6">
        <v>0</v>
      </c>
      <c r="F6" s="6">
        <v>0</v>
      </c>
      <c r="G6" s="3">
        <v>109</v>
      </c>
      <c r="H6" s="7">
        <v>1</v>
      </c>
      <c r="I6" s="7">
        <v>0</v>
      </c>
      <c r="J6" s="9">
        <f t="shared" si="0"/>
        <v>1</v>
      </c>
      <c r="K6" s="9">
        <f t="shared" si="1"/>
        <v>1</v>
      </c>
      <c r="L6" s="9">
        <f t="shared" si="2"/>
        <v>0</v>
      </c>
      <c r="M6" s="9">
        <f t="shared" si="3"/>
        <v>1</v>
      </c>
      <c r="N6" s="9">
        <f t="shared" si="4"/>
        <v>0</v>
      </c>
      <c r="O6" s="9">
        <f t="shared" si="5"/>
        <v>0</v>
      </c>
      <c r="P6" s="9">
        <f t="shared" si="6"/>
        <v>0</v>
      </c>
      <c r="Q6" s="17">
        <f t="shared" si="7"/>
        <v>109</v>
      </c>
      <c r="R6" s="17">
        <f t="shared" si="8"/>
        <v>0</v>
      </c>
      <c r="S6" s="17">
        <f t="shared" si="9"/>
        <v>0</v>
      </c>
      <c r="T6" s="17">
        <f t="shared" si="10"/>
        <v>0</v>
      </c>
      <c r="U6" s="17">
        <f t="shared" si="11"/>
        <v>0</v>
      </c>
      <c r="V6" s="17">
        <f t="shared" si="12"/>
        <v>0</v>
      </c>
      <c r="W6" s="17">
        <f t="shared" si="13"/>
        <v>0</v>
      </c>
      <c r="X6" s="17">
        <f t="shared" si="14"/>
        <v>0</v>
      </c>
      <c r="Y6" s="11"/>
      <c r="Z6" s="11"/>
      <c r="AA6" s="11"/>
      <c r="AB6" s="11"/>
      <c r="AC6" s="11"/>
      <c r="AD6" s="11"/>
      <c r="AE6" s="11"/>
      <c r="AF6" s="11"/>
    </row>
    <row r="7" spans="1:32" ht="15.75" x14ac:dyDescent="0.25">
      <c r="A7" s="18" t="s">
        <v>9</v>
      </c>
      <c r="B7" s="6">
        <v>6</v>
      </c>
      <c r="C7" s="6">
        <v>1</v>
      </c>
      <c r="D7" s="6">
        <v>0</v>
      </c>
      <c r="E7" s="6">
        <v>0</v>
      </c>
      <c r="F7" s="6">
        <v>0</v>
      </c>
      <c r="G7" s="3">
        <v>103</v>
      </c>
      <c r="H7" s="7">
        <v>1</v>
      </c>
      <c r="I7" s="7">
        <v>0</v>
      </c>
      <c r="J7" s="9">
        <f t="shared" si="0"/>
        <v>1</v>
      </c>
      <c r="K7" s="9">
        <f t="shared" si="1"/>
        <v>1</v>
      </c>
      <c r="L7" s="9">
        <f t="shared" si="2"/>
        <v>0</v>
      </c>
      <c r="M7" s="9">
        <f t="shared" si="3"/>
        <v>1</v>
      </c>
      <c r="N7" s="9">
        <f t="shared" si="4"/>
        <v>0</v>
      </c>
      <c r="O7" s="9">
        <f t="shared" si="5"/>
        <v>0</v>
      </c>
      <c r="P7" s="9">
        <f t="shared" si="6"/>
        <v>0</v>
      </c>
      <c r="Q7" s="17">
        <f t="shared" si="7"/>
        <v>103</v>
      </c>
      <c r="R7" s="17">
        <f t="shared" si="8"/>
        <v>0</v>
      </c>
      <c r="S7" s="17">
        <f t="shared" si="9"/>
        <v>0</v>
      </c>
      <c r="T7" s="17">
        <f t="shared" si="10"/>
        <v>0</v>
      </c>
      <c r="U7" s="17">
        <f t="shared" si="11"/>
        <v>0</v>
      </c>
      <c r="V7" s="17">
        <f t="shared" si="12"/>
        <v>0</v>
      </c>
      <c r="W7" s="17">
        <f t="shared" si="13"/>
        <v>0</v>
      </c>
      <c r="X7" s="17">
        <f t="shared" si="14"/>
        <v>0</v>
      </c>
      <c r="Y7" s="11"/>
      <c r="Z7" s="11"/>
      <c r="AA7" s="11"/>
      <c r="AB7" s="11"/>
      <c r="AC7" s="11"/>
      <c r="AD7" s="11"/>
      <c r="AE7" s="11"/>
      <c r="AF7" s="11"/>
    </row>
    <row r="8" spans="1:32" ht="15.75" x14ac:dyDescent="0.25">
      <c r="A8" s="18" t="s">
        <v>42</v>
      </c>
      <c r="B8" s="6">
        <v>7</v>
      </c>
      <c r="C8" s="6">
        <v>1</v>
      </c>
      <c r="D8" s="6">
        <v>0</v>
      </c>
      <c r="E8" s="6">
        <v>0</v>
      </c>
      <c r="F8" s="6">
        <v>0</v>
      </c>
      <c r="G8" s="3">
        <v>108</v>
      </c>
      <c r="H8" s="7">
        <v>0</v>
      </c>
      <c r="I8" s="7">
        <v>0</v>
      </c>
      <c r="J8" s="9">
        <f t="shared" si="0"/>
        <v>0</v>
      </c>
      <c r="K8" s="9">
        <f t="shared" si="1"/>
        <v>0</v>
      </c>
      <c r="L8" s="9">
        <f t="shared" si="2"/>
        <v>0</v>
      </c>
      <c r="M8" s="9">
        <f t="shared" si="3"/>
        <v>0</v>
      </c>
      <c r="N8" s="9">
        <f t="shared" si="4"/>
        <v>0</v>
      </c>
      <c r="O8" s="9">
        <f t="shared" si="5"/>
        <v>0</v>
      </c>
      <c r="P8" s="9">
        <f t="shared" si="6"/>
        <v>0</v>
      </c>
      <c r="Q8" s="17">
        <f t="shared" si="7"/>
        <v>0</v>
      </c>
      <c r="R8" s="17">
        <f t="shared" si="8"/>
        <v>0</v>
      </c>
      <c r="S8" s="17">
        <f t="shared" si="9"/>
        <v>0</v>
      </c>
      <c r="T8" s="17">
        <f t="shared" si="10"/>
        <v>0</v>
      </c>
      <c r="U8" s="17">
        <f t="shared" si="11"/>
        <v>0</v>
      </c>
      <c r="V8" s="17">
        <f t="shared" si="12"/>
        <v>0</v>
      </c>
      <c r="W8" s="17">
        <f t="shared" si="13"/>
        <v>0</v>
      </c>
      <c r="X8" s="17">
        <f t="shared" si="14"/>
        <v>0</v>
      </c>
      <c r="Y8" s="11"/>
      <c r="Z8" s="11"/>
      <c r="AA8" s="11"/>
      <c r="AB8" s="11"/>
      <c r="AC8" s="11"/>
      <c r="AD8" s="11"/>
      <c r="AE8" s="11"/>
      <c r="AF8" s="11"/>
    </row>
    <row r="9" spans="1:32" ht="15.75" x14ac:dyDescent="0.25">
      <c r="A9" s="18" t="s">
        <v>0</v>
      </c>
      <c r="B9" s="6">
        <v>8</v>
      </c>
      <c r="C9" s="6">
        <v>1</v>
      </c>
      <c r="D9" s="6">
        <v>0</v>
      </c>
      <c r="E9" s="6">
        <v>0</v>
      </c>
      <c r="F9" s="6">
        <v>0</v>
      </c>
      <c r="G9" s="3">
        <v>92</v>
      </c>
      <c r="H9" s="7">
        <v>0</v>
      </c>
      <c r="I9" s="7">
        <v>0</v>
      </c>
      <c r="J9" s="9">
        <f t="shared" si="0"/>
        <v>0</v>
      </c>
      <c r="K9" s="9">
        <f t="shared" si="1"/>
        <v>0</v>
      </c>
      <c r="L9" s="9">
        <f t="shared" si="2"/>
        <v>0</v>
      </c>
      <c r="M9" s="9">
        <f t="shared" si="3"/>
        <v>0</v>
      </c>
      <c r="N9" s="9">
        <f t="shared" si="4"/>
        <v>0</v>
      </c>
      <c r="O9" s="9">
        <f t="shared" si="5"/>
        <v>0</v>
      </c>
      <c r="P9" s="9">
        <f t="shared" si="6"/>
        <v>0</v>
      </c>
      <c r="Q9" s="17">
        <f t="shared" si="7"/>
        <v>0</v>
      </c>
      <c r="R9" s="17">
        <f t="shared" si="8"/>
        <v>0</v>
      </c>
      <c r="S9" s="17">
        <f t="shared" si="9"/>
        <v>0</v>
      </c>
      <c r="T9" s="17">
        <f t="shared" si="10"/>
        <v>0</v>
      </c>
      <c r="U9" s="17">
        <f t="shared" si="11"/>
        <v>0</v>
      </c>
      <c r="V9" s="17">
        <f t="shared" si="12"/>
        <v>0</v>
      </c>
      <c r="W9" s="17">
        <f t="shared" si="13"/>
        <v>0</v>
      </c>
      <c r="X9" s="17">
        <f t="shared" si="14"/>
        <v>0</v>
      </c>
      <c r="Y9" s="11"/>
      <c r="Z9" s="11"/>
      <c r="AA9" s="11"/>
      <c r="AB9" s="11"/>
      <c r="AC9" s="11"/>
      <c r="AD9" s="11"/>
      <c r="AE9" s="11"/>
      <c r="AF9" s="11"/>
    </row>
    <row r="10" spans="1:32" ht="15" customHeight="1" x14ac:dyDescent="0.25">
      <c r="A10" s="19" t="s">
        <v>8</v>
      </c>
      <c r="B10" s="6">
        <v>9</v>
      </c>
      <c r="C10" s="6">
        <v>0</v>
      </c>
      <c r="D10" s="6">
        <v>1</v>
      </c>
      <c r="E10" s="6">
        <v>0</v>
      </c>
      <c r="F10" s="6">
        <v>0</v>
      </c>
      <c r="G10" s="3">
        <v>102</v>
      </c>
      <c r="H10" s="7">
        <v>0</v>
      </c>
      <c r="I10" s="7">
        <v>0</v>
      </c>
      <c r="J10" s="9">
        <f t="shared" si="0"/>
        <v>0</v>
      </c>
      <c r="K10" s="9">
        <f t="shared" si="1"/>
        <v>0</v>
      </c>
      <c r="L10" s="9">
        <f t="shared" si="2"/>
        <v>0</v>
      </c>
      <c r="M10" s="9">
        <f t="shared" si="3"/>
        <v>0</v>
      </c>
      <c r="N10" s="9">
        <f t="shared" si="4"/>
        <v>0</v>
      </c>
      <c r="O10" s="9">
        <f t="shared" si="5"/>
        <v>0</v>
      </c>
      <c r="P10" s="9">
        <f t="shared" si="6"/>
        <v>0</v>
      </c>
      <c r="Q10" s="15">
        <f t="shared" si="7"/>
        <v>0</v>
      </c>
      <c r="R10" s="15">
        <f t="shared" si="8"/>
        <v>0</v>
      </c>
      <c r="S10" s="15">
        <f t="shared" si="9"/>
        <v>0</v>
      </c>
      <c r="T10" s="15">
        <f t="shared" si="10"/>
        <v>0</v>
      </c>
      <c r="U10" s="15">
        <f t="shared" si="11"/>
        <v>0</v>
      </c>
      <c r="V10" s="15">
        <f t="shared" si="12"/>
        <v>0</v>
      </c>
      <c r="W10" s="15">
        <f t="shared" si="13"/>
        <v>0</v>
      </c>
      <c r="X10" s="15">
        <f t="shared" si="14"/>
        <v>0</v>
      </c>
      <c r="Y10" s="11"/>
      <c r="Z10" s="11"/>
      <c r="AA10" s="11"/>
      <c r="AB10" s="11"/>
      <c r="AC10" s="11"/>
      <c r="AD10" s="11"/>
      <c r="AE10" s="11"/>
      <c r="AF10" s="11"/>
    </row>
    <row r="11" spans="1:32" ht="15.75" x14ac:dyDescent="0.25">
      <c r="A11" s="19" t="s">
        <v>17</v>
      </c>
      <c r="B11" s="6">
        <v>10</v>
      </c>
      <c r="C11" s="6">
        <v>0</v>
      </c>
      <c r="D11" s="6">
        <v>1</v>
      </c>
      <c r="E11" s="6">
        <v>0</v>
      </c>
      <c r="F11" s="6">
        <v>0</v>
      </c>
      <c r="G11" s="3">
        <v>89</v>
      </c>
      <c r="H11" s="7">
        <v>1</v>
      </c>
      <c r="I11" s="7">
        <v>0</v>
      </c>
      <c r="J11" s="9">
        <f t="shared" si="0"/>
        <v>1</v>
      </c>
      <c r="K11" s="9">
        <f t="shared" si="1"/>
        <v>1</v>
      </c>
      <c r="L11" s="9">
        <f t="shared" si="2"/>
        <v>0</v>
      </c>
      <c r="M11" s="9">
        <f t="shared" si="3"/>
        <v>0</v>
      </c>
      <c r="N11" s="9">
        <f t="shared" si="4"/>
        <v>1</v>
      </c>
      <c r="O11" s="9">
        <f t="shared" si="5"/>
        <v>0</v>
      </c>
      <c r="P11" s="9">
        <f t="shared" si="6"/>
        <v>0</v>
      </c>
      <c r="Q11" s="15">
        <f t="shared" si="7"/>
        <v>0</v>
      </c>
      <c r="R11" s="15">
        <f t="shared" si="8"/>
        <v>0</v>
      </c>
      <c r="S11" s="15">
        <f t="shared" si="9"/>
        <v>89</v>
      </c>
      <c r="T11" s="15">
        <f t="shared" si="10"/>
        <v>0</v>
      </c>
      <c r="U11" s="15">
        <f t="shared" si="11"/>
        <v>0</v>
      </c>
      <c r="V11" s="15">
        <f t="shared" si="12"/>
        <v>0</v>
      </c>
      <c r="W11" s="15">
        <f t="shared" si="13"/>
        <v>0</v>
      </c>
      <c r="X11" s="15">
        <f t="shared" si="14"/>
        <v>0</v>
      </c>
      <c r="Y11" s="11"/>
      <c r="Z11" s="11"/>
      <c r="AA11" s="11"/>
      <c r="AB11" s="11"/>
      <c r="AC11" s="11"/>
      <c r="AD11" s="11"/>
      <c r="AE11" s="11"/>
      <c r="AF11" s="11"/>
    </row>
    <row r="12" spans="1:32" ht="15.75" x14ac:dyDescent="0.25">
      <c r="A12" s="19" t="s">
        <v>11</v>
      </c>
      <c r="B12" s="6">
        <v>11</v>
      </c>
      <c r="C12" s="6">
        <v>0</v>
      </c>
      <c r="D12" s="6">
        <v>1</v>
      </c>
      <c r="E12" s="6">
        <v>0</v>
      </c>
      <c r="F12" s="6">
        <v>0</v>
      </c>
      <c r="G12" s="3">
        <v>102</v>
      </c>
      <c r="H12" s="7">
        <v>1</v>
      </c>
      <c r="I12" s="7">
        <v>0</v>
      </c>
      <c r="J12" s="9">
        <f t="shared" si="0"/>
        <v>1</v>
      </c>
      <c r="K12" s="9">
        <f t="shared" si="1"/>
        <v>1</v>
      </c>
      <c r="L12" s="9">
        <f t="shared" si="2"/>
        <v>0</v>
      </c>
      <c r="M12" s="9">
        <f t="shared" si="3"/>
        <v>0</v>
      </c>
      <c r="N12" s="9">
        <f t="shared" si="4"/>
        <v>1</v>
      </c>
      <c r="O12" s="9">
        <f t="shared" si="5"/>
        <v>0</v>
      </c>
      <c r="P12" s="9">
        <f t="shared" si="6"/>
        <v>0</v>
      </c>
      <c r="Q12" s="15">
        <f t="shared" si="7"/>
        <v>0</v>
      </c>
      <c r="R12" s="15">
        <f t="shared" si="8"/>
        <v>0</v>
      </c>
      <c r="S12" s="15">
        <f t="shared" si="9"/>
        <v>102</v>
      </c>
      <c r="T12" s="15">
        <f t="shared" si="10"/>
        <v>0</v>
      </c>
      <c r="U12" s="15">
        <f t="shared" si="11"/>
        <v>0</v>
      </c>
      <c r="V12" s="15">
        <f t="shared" si="12"/>
        <v>0</v>
      </c>
      <c r="W12" s="15">
        <f t="shared" si="13"/>
        <v>0</v>
      </c>
      <c r="X12" s="15">
        <f t="shared" si="14"/>
        <v>0</v>
      </c>
      <c r="Y12" s="11"/>
      <c r="Z12" s="11"/>
      <c r="AA12" s="11"/>
      <c r="AB12" s="11"/>
      <c r="AC12" s="11"/>
      <c r="AD12" s="11"/>
      <c r="AE12" s="11"/>
      <c r="AF12" s="11"/>
    </row>
    <row r="13" spans="1:32" ht="15.75" x14ac:dyDescent="0.25">
      <c r="A13" s="19" t="s">
        <v>3</v>
      </c>
      <c r="B13" s="6">
        <v>12</v>
      </c>
      <c r="C13" s="6">
        <v>0</v>
      </c>
      <c r="D13" s="6">
        <v>1</v>
      </c>
      <c r="E13" s="6">
        <v>0</v>
      </c>
      <c r="F13" s="6">
        <v>0</v>
      </c>
      <c r="G13" s="3">
        <v>94</v>
      </c>
      <c r="H13" s="7">
        <v>0</v>
      </c>
      <c r="I13" s="7">
        <v>0</v>
      </c>
      <c r="J13" s="9">
        <f t="shared" si="0"/>
        <v>0</v>
      </c>
      <c r="K13" s="9">
        <f t="shared" si="1"/>
        <v>0</v>
      </c>
      <c r="L13" s="9">
        <f t="shared" si="2"/>
        <v>0</v>
      </c>
      <c r="M13" s="9">
        <f t="shared" si="3"/>
        <v>0</v>
      </c>
      <c r="N13" s="9">
        <f t="shared" si="4"/>
        <v>0</v>
      </c>
      <c r="O13" s="9">
        <f t="shared" si="5"/>
        <v>0</v>
      </c>
      <c r="P13" s="9">
        <f t="shared" si="6"/>
        <v>0</v>
      </c>
      <c r="Q13" s="15">
        <f t="shared" si="7"/>
        <v>0</v>
      </c>
      <c r="R13" s="15">
        <f t="shared" si="8"/>
        <v>0</v>
      </c>
      <c r="S13" s="15">
        <f t="shared" si="9"/>
        <v>0</v>
      </c>
      <c r="T13" s="15">
        <f t="shared" si="10"/>
        <v>0</v>
      </c>
      <c r="U13" s="15">
        <f t="shared" si="11"/>
        <v>0</v>
      </c>
      <c r="V13" s="15">
        <f t="shared" si="12"/>
        <v>0</v>
      </c>
      <c r="W13" s="15">
        <f t="shared" si="13"/>
        <v>0</v>
      </c>
      <c r="X13" s="15">
        <f t="shared" si="14"/>
        <v>0</v>
      </c>
      <c r="Y13" s="11"/>
      <c r="Z13" s="11"/>
      <c r="AA13" s="11"/>
      <c r="AB13" s="11"/>
      <c r="AC13" s="11"/>
      <c r="AD13" s="11"/>
      <c r="AE13" s="11"/>
      <c r="AF13" s="11"/>
    </row>
    <row r="14" spans="1:32" ht="15.75" x14ac:dyDescent="0.25">
      <c r="A14" s="19" t="s">
        <v>15</v>
      </c>
      <c r="B14" s="6">
        <v>13</v>
      </c>
      <c r="C14" s="6">
        <v>0</v>
      </c>
      <c r="D14" s="6">
        <v>1</v>
      </c>
      <c r="E14" s="6">
        <v>0</v>
      </c>
      <c r="F14" s="6">
        <v>0</v>
      </c>
      <c r="G14" s="3">
        <v>78</v>
      </c>
      <c r="H14" s="7">
        <v>1</v>
      </c>
      <c r="I14" s="7">
        <v>0</v>
      </c>
      <c r="J14" s="9">
        <f t="shared" si="0"/>
        <v>1</v>
      </c>
      <c r="K14" s="9">
        <f t="shared" si="1"/>
        <v>1</v>
      </c>
      <c r="L14" s="9">
        <f t="shared" si="2"/>
        <v>0</v>
      </c>
      <c r="M14" s="9">
        <f t="shared" si="3"/>
        <v>0</v>
      </c>
      <c r="N14" s="9">
        <f t="shared" si="4"/>
        <v>1</v>
      </c>
      <c r="O14" s="9">
        <f t="shared" si="5"/>
        <v>0</v>
      </c>
      <c r="P14" s="9">
        <f t="shared" si="6"/>
        <v>0</v>
      </c>
      <c r="Q14" s="15">
        <f t="shared" si="7"/>
        <v>0</v>
      </c>
      <c r="R14" s="15">
        <f t="shared" si="8"/>
        <v>0</v>
      </c>
      <c r="S14" s="15">
        <f t="shared" si="9"/>
        <v>78</v>
      </c>
      <c r="T14" s="15">
        <f t="shared" si="10"/>
        <v>0</v>
      </c>
      <c r="U14" s="15">
        <f t="shared" si="11"/>
        <v>0</v>
      </c>
      <c r="V14" s="15">
        <f t="shared" si="12"/>
        <v>0</v>
      </c>
      <c r="W14" s="15">
        <f t="shared" si="13"/>
        <v>0</v>
      </c>
      <c r="X14" s="15">
        <f t="shared" si="14"/>
        <v>0</v>
      </c>
      <c r="Y14" s="11"/>
      <c r="Z14" s="11"/>
      <c r="AA14" s="11"/>
      <c r="AB14" s="11"/>
      <c r="AC14" s="11"/>
      <c r="AD14" s="11"/>
      <c r="AE14" s="11"/>
      <c r="AF14" s="11"/>
    </row>
    <row r="15" spans="1:32" ht="15.75" x14ac:dyDescent="0.25">
      <c r="A15" s="19" t="s">
        <v>14</v>
      </c>
      <c r="B15" s="6">
        <v>14</v>
      </c>
      <c r="C15" s="6">
        <v>0</v>
      </c>
      <c r="D15" s="6">
        <v>1</v>
      </c>
      <c r="E15" s="6">
        <v>0</v>
      </c>
      <c r="F15" s="6">
        <v>0</v>
      </c>
      <c r="G15" s="3">
        <v>92</v>
      </c>
      <c r="H15" s="7">
        <v>1</v>
      </c>
      <c r="I15" s="7">
        <v>0</v>
      </c>
      <c r="J15" s="9">
        <f t="shared" si="0"/>
        <v>1</v>
      </c>
      <c r="K15" s="9">
        <f t="shared" si="1"/>
        <v>1</v>
      </c>
      <c r="L15" s="9">
        <f t="shared" si="2"/>
        <v>0</v>
      </c>
      <c r="M15" s="9">
        <f t="shared" si="3"/>
        <v>0</v>
      </c>
      <c r="N15" s="9">
        <f t="shared" si="4"/>
        <v>1</v>
      </c>
      <c r="O15" s="9">
        <f t="shared" si="5"/>
        <v>0</v>
      </c>
      <c r="P15" s="9">
        <f t="shared" si="6"/>
        <v>0</v>
      </c>
      <c r="Q15" s="15">
        <f t="shared" si="7"/>
        <v>0</v>
      </c>
      <c r="R15" s="15">
        <f t="shared" si="8"/>
        <v>0</v>
      </c>
      <c r="S15" s="15">
        <f t="shared" si="9"/>
        <v>92</v>
      </c>
      <c r="T15" s="15">
        <f t="shared" si="10"/>
        <v>0</v>
      </c>
      <c r="U15" s="15">
        <f t="shared" si="11"/>
        <v>0</v>
      </c>
      <c r="V15" s="15">
        <f t="shared" si="12"/>
        <v>0</v>
      </c>
      <c r="W15" s="15">
        <f t="shared" si="13"/>
        <v>0</v>
      </c>
      <c r="X15" s="15">
        <f t="shared" si="14"/>
        <v>0</v>
      </c>
      <c r="Y15" s="11"/>
      <c r="Z15" s="11"/>
      <c r="AA15" s="11"/>
      <c r="AB15" s="11"/>
      <c r="AC15" s="11"/>
      <c r="AD15" s="11"/>
      <c r="AE15" s="11"/>
      <c r="AF15" s="11"/>
    </row>
    <row r="16" spans="1:32" ht="15.75" x14ac:dyDescent="0.25">
      <c r="A16" s="19" t="s">
        <v>7</v>
      </c>
      <c r="B16" s="6">
        <v>15</v>
      </c>
      <c r="C16" s="6">
        <v>0</v>
      </c>
      <c r="D16" s="6">
        <v>1</v>
      </c>
      <c r="E16" s="6">
        <v>0</v>
      </c>
      <c r="F16" s="6">
        <v>0</v>
      </c>
      <c r="G16" s="3">
        <v>84</v>
      </c>
      <c r="H16" s="7">
        <v>0</v>
      </c>
      <c r="I16" s="7">
        <v>0</v>
      </c>
      <c r="J16" s="9">
        <f t="shared" si="0"/>
        <v>0</v>
      </c>
      <c r="K16" s="9">
        <f t="shared" si="1"/>
        <v>0</v>
      </c>
      <c r="L16" s="9">
        <f t="shared" si="2"/>
        <v>0</v>
      </c>
      <c r="M16" s="9">
        <f t="shared" si="3"/>
        <v>0</v>
      </c>
      <c r="N16" s="9">
        <f t="shared" si="4"/>
        <v>0</v>
      </c>
      <c r="O16" s="9">
        <f t="shared" si="5"/>
        <v>0</v>
      </c>
      <c r="P16" s="9">
        <f t="shared" si="6"/>
        <v>0</v>
      </c>
      <c r="Q16" s="15">
        <f t="shared" si="7"/>
        <v>0</v>
      </c>
      <c r="R16" s="15">
        <f t="shared" si="8"/>
        <v>0</v>
      </c>
      <c r="S16" s="15">
        <f t="shared" si="9"/>
        <v>0</v>
      </c>
      <c r="T16" s="15">
        <f t="shared" si="10"/>
        <v>0</v>
      </c>
      <c r="U16" s="15">
        <f t="shared" si="11"/>
        <v>0</v>
      </c>
      <c r="V16" s="15">
        <f t="shared" si="12"/>
        <v>0</v>
      </c>
      <c r="W16" s="15">
        <f t="shared" si="13"/>
        <v>0</v>
      </c>
      <c r="X16" s="15">
        <f t="shared" si="14"/>
        <v>0</v>
      </c>
      <c r="Y16" s="11"/>
      <c r="Z16" s="11"/>
      <c r="AA16" s="11"/>
      <c r="AB16" s="11"/>
      <c r="AC16" s="11"/>
      <c r="AD16" s="11"/>
      <c r="AE16" s="11"/>
      <c r="AF16" s="11"/>
    </row>
    <row r="17" spans="1:32" ht="15.75" x14ac:dyDescent="0.25">
      <c r="A17" s="19" t="s">
        <v>24</v>
      </c>
      <c r="B17" s="6">
        <v>16</v>
      </c>
      <c r="C17" s="6">
        <v>0</v>
      </c>
      <c r="D17" s="6">
        <v>1</v>
      </c>
      <c r="E17" s="6">
        <v>0</v>
      </c>
      <c r="F17" s="6">
        <v>0</v>
      </c>
      <c r="G17" s="3">
        <v>80</v>
      </c>
      <c r="H17" s="7">
        <v>0</v>
      </c>
      <c r="I17" s="7">
        <v>0</v>
      </c>
      <c r="J17" s="9">
        <f t="shared" si="0"/>
        <v>0</v>
      </c>
      <c r="K17" s="9">
        <f t="shared" si="1"/>
        <v>0</v>
      </c>
      <c r="L17" s="9">
        <f t="shared" si="2"/>
        <v>0</v>
      </c>
      <c r="M17" s="9">
        <f t="shared" si="3"/>
        <v>0</v>
      </c>
      <c r="N17" s="9">
        <f t="shared" si="4"/>
        <v>0</v>
      </c>
      <c r="O17" s="9">
        <f t="shared" si="5"/>
        <v>0</v>
      </c>
      <c r="P17" s="9">
        <f t="shared" si="6"/>
        <v>0</v>
      </c>
      <c r="Q17" s="15">
        <f t="shared" si="7"/>
        <v>0</v>
      </c>
      <c r="R17" s="15">
        <f t="shared" si="8"/>
        <v>0</v>
      </c>
      <c r="S17" s="15">
        <f t="shared" si="9"/>
        <v>0</v>
      </c>
      <c r="T17" s="15">
        <f t="shared" si="10"/>
        <v>0</v>
      </c>
      <c r="U17" s="15">
        <f t="shared" si="11"/>
        <v>0</v>
      </c>
      <c r="V17" s="15">
        <f t="shared" si="12"/>
        <v>0</v>
      </c>
      <c r="W17" s="15">
        <f t="shared" si="13"/>
        <v>0</v>
      </c>
      <c r="X17" s="15">
        <f t="shared" si="14"/>
        <v>0</v>
      </c>
      <c r="Y17" s="11"/>
      <c r="Z17" s="11"/>
      <c r="AA17" s="11"/>
      <c r="AB17" s="11"/>
      <c r="AC17" s="11"/>
      <c r="AD17" s="11"/>
      <c r="AE17" s="11"/>
      <c r="AF17" s="11"/>
    </row>
    <row r="18" spans="1:32" ht="15.75" x14ac:dyDescent="0.25">
      <c r="A18" s="20" t="s">
        <v>4</v>
      </c>
      <c r="B18" s="6">
        <v>17</v>
      </c>
      <c r="C18" s="6">
        <v>0</v>
      </c>
      <c r="D18" s="6">
        <v>0</v>
      </c>
      <c r="E18" s="6">
        <v>1</v>
      </c>
      <c r="F18" s="6">
        <v>0</v>
      </c>
      <c r="G18" s="3">
        <v>101</v>
      </c>
      <c r="H18" s="7">
        <v>0</v>
      </c>
      <c r="I18" s="7">
        <v>0</v>
      </c>
      <c r="J18" s="9">
        <f t="shared" si="0"/>
        <v>0</v>
      </c>
      <c r="K18" s="9">
        <f t="shared" si="1"/>
        <v>0</v>
      </c>
      <c r="L18" s="9">
        <f t="shared" si="2"/>
        <v>0</v>
      </c>
      <c r="M18" s="9">
        <f t="shared" si="3"/>
        <v>0</v>
      </c>
      <c r="N18" s="9">
        <f t="shared" si="4"/>
        <v>0</v>
      </c>
      <c r="O18" s="9">
        <f t="shared" si="5"/>
        <v>0</v>
      </c>
      <c r="P18" s="9">
        <f t="shared" si="6"/>
        <v>0</v>
      </c>
      <c r="Q18" s="16">
        <f t="shared" si="7"/>
        <v>0</v>
      </c>
      <c r="R18" s="16">
        <f t="shared" si="8"/>
        <v>0</v>
      </c>
      <c r="S18" s="16">
        <f t="shared" si="9"/>
        <v>0</v>
      </c>
      <c r="T18" s="16">
        <f t="shared" si="10"/>
        <v>0</v>
      </c>
      <c r="U18" s="16">
        <f t="shared" si="11"/>
        <v>0</v>
      </c>
      <c r="V18" s="16">
        <f t="shared" si="12"/>
        <v>0</v>
      </c>
      <c r="W18" s="16">
        <f t="shared" si="13"/>
        <v>0</v>
      </c>
      <c r="X18" s="16">
        <f t="shared" si="14"/>
        <v>0</v>
      </c>
      <c r="Y18" s="11"/>
      <c r="Z18" s="11"/>
      <c r="AA18" s="11"/>
      <c r="AB18" s="11"/>
      <c r="AC18" s="11"/>
      <c r="AD18" s="11"/>
      <c r="AE18" s="11"/>
      <c r="AF18" s="11"/>
    </row>
    <row r="19" spans="1:32" ht="15.75" x14ac:dyDescent="0.25">
      <c r="A19" s="20" t="s">
        <v>12</v>
      </c>
      <c r="B19" s="6">
        <v>18</v>
      </c>
      <c r="C19" s="6">
        <v>0</v>
      </c>
      <c r="D19" s="6">
        <v>0</v>
      </c>
      <c r="E19" s="6">
        <v>1</v>
      </c>
      <c r="F19" s="6">
        <v>0</v>
      </c>
      <c r="G19" s="3">
        <v>88</v>
      </c>
      <c r="H19" s="7">
        <v>1</v>
      </c>
      <c r="I19" s="7">
        <v>0</v>
      </c>
      <c r="J19" s="9">
        <f t="shared" si="0"/>
        <v>1</v>
      </c>
      <c r="K19" s="9">
        <f t="shared" si="1"/>
        <v>0</v>
      </c>
      <c r="L19" s="9">
        <f t="shared" si="2"/>
        <v>1</v>
      </c>
      <c r="M19" s="9">
        <f t="shared" si="3"/>
        <v>0</v>
      </c>
      <c r="N19" s="9">
        <f t="shared" si="4"/>
        <v>0</v>
      </c>
      <c r="O19" s="9">
        <f t="shared" si="5"/>
        <v>1</v>
      </c>
      <c r="P19" s="9">
        <f t="shared" si="6"/>
        <v>0</v>
      </c>
      <c r="Q19" s="16">
        <f t="shared" si="7"/>
        <v>0</v>
      </c>
      <c r="R19" s="16">
        <f t="shared" si="8"/>
        <v>0</v>
      </c>
      <c r="S19" s="16">
        <f t="shared" si="9"/>
        <v>0</v>
      </c>
      <c r="T19" s="16">
        <f t="shared" si="10"/>
        <v>0</v>
      </c>
      <c r="U19" s="16">
        <f t="shared" si="11"/>
        <v>88</v>
      </c>
      <c r="V19" s="16">
        <f t="shared" si="12"/>
        <v>0</v>
      </c>
      <c r="W19" s="16">
        <f t="shared" si="13"/>
        <v>0</v>
      </c>
      <c r="X19" s="16">
        <f t="shared" si="14"/>
        <v>0</v>
      </c>
      <c r="Y19" s="11"/>
      <c r="Z19" s="11"/>
      <c r="AA19" s="11"/>
      <c r="AB19" s="11"/>
      <c r="AC19" s="11"/>
      <c r="AD19" s="11"/>
      <c r="AE19" s="11"/>
      <c r="AF19" s="11"/>
    </row>
    <row r="20" spans="1:32" ht="15.75" x14ac:dyDescent="0.25">
      <c r="A20" s="20" t="s">
        <v>1</v>
      </c>
      <c r="B20" s="6">
        <v>19</v>
      </c>
      <c r="C20" s="6">
        <v>0</v>
      </c>
      <c r="D20" s="6">
        <v>0</v>
      </c>
      <c r="E20" s="6">
        <v>1</v>
      </c>
      <c r="F20" s="6">
        <v>0</v>
      </c>
      <c r="G20" s="3">
        <v>89</v>
      </c>
      <c r="H20" s="7">
        <v>1</v>
      </c>
      <c r="I20" s="7">
        <v>0</v>
      </c>
      <c r="J20" s="9">
        <f t="shared" si="0"/>
        <v>1</v>
      </c>
      <c r="K20" s="9">
        <f t="shared" si="1"/>
        <v>0</v>
      </c>
      <c r="L20" s="9">
        <f t="shared" si="2"/>
        <v>1</v>
      </c>
      <c r="M20" s="9">
        <f t="shared" si="3"/>
        <v>0</v>
      </c>
      <c r="N20" s="9">
        <f t="shared" si="4"/>
        <v>0</v>
      </c>
      <c r="O20" s="9">
        <f t="shared" si="5"/>
        <v>1</v>
      </c>
      <c r="P20" s="9">
        <f t="shared" si="6"/>
        <v>0</v>
      </c>
      <c r="Q20" s="16">
        <f t="shared" si="7"/>
        <v>0</v>
      </c>
      <c r="R20" s="16">
        <f t="shared" si="8"/>
        <v>0</v>
      </c>
      <c r="S20" s="16">
        <f t="shared" si="9"/>
        <v>0</v>
      </c>
      <c r="T20" s="16">
        <f t="shared" si="10"/>
        <v>0</v>
      </c>
      <c r="U20" s="16">
        <f t="shared" si="11"/>
        <v>89</v>
      </c>
      <c r="V20" s="16">
        <f t="shared" si="12"/>
        <v>0</v>
      </c>
      <c r="W20" s="16">
        <f t="shared" si="13"/>
        <v>0</v>
      </c>
      <c r="X20" s="16">
        <f t="shared" si="14"/>
        <v>0</v>
      </c>
      <c r="Y20" s="11"/>
      <c r="Z20" s="11"/>
      <c r="AA20" s="11"/>
      <c r="AB20" s="11"/>
      <c r="AC20" s="11"/>
      <c r="AD20" s="11"/>
      <c r="AE20" s="11"/>
      <c r="AF20" s="11"/>
    </row>
    <row r="21" spans="1:32" ht="15.75" x14ac:dyDescent="0.25">
      <c r="A21" s="20" t="s">
        <v>13</v>
      </c>
      <c r="B21" s="6">
        <v>20</v>
      </c>
      <c r="C21" s="6">
        <v>0</v>
      </c>
      <c r="D21" s="6">
        <v>0</v>
      </c>
      <c r="E21" s="6">
        <v>1</v>
      </c>
      <c r="F21" s="6">
        <v>0</v>
      </c>
      <c r="G21" s="3">
        <v>81</v>
      </c>
      <c r="H21" s="7">
        <v>0</v>
      </c>
      <c r="I21" s="7">
        <v>0</v>
      </c>
      <c r="J21" s="9">
        <f t="shared" si="0"/>
        <v>0</v>
      </c>
      <c r="K21" s="9">
        <f t="shared" si="1"/>
        <v>0</v>
      </c>
      <c r="L21" s="9">
        <f t="shared" si="2"/>
        <v>0</v>
      </c>
      <c r="M21" s="9">
        <f t="shared" si="3"/>
        <v>0</v>
      </c>
      <c r="N21" s="9">
        <f t="shared" si="4"/>
        <v>0</v>
      </c>
      <c r="O21" s="9">
        <f t="shared" si="5"/>
        <v>0</v>
      </c>
      <c r="P21" s="9">
        <f t="shared" si="6"/>
        <v>0</v>
      </c>
      <c r="Q21" s="16">
        <f t="shared" si="7"/>
        <v>0</v>
      </c>
      <c r="R21" s="16">
        <f t="shared" si="8"/>
        <v>0</v>
      </c>
      <c r="S21" s="16">
        <f t="shared" si="9"/>
        <v>0</v>
      </c>
      <c r="T21" s="16">
        <f t="shared" si="10"/>
        <v>0</v>
      </c>
      <c r="U21" s="16">
        <f t="shared" si="11"/>
        <v>0</v>
      </c>
      <c r="V21" s="16">
        <f t="shared" si="12"/>
        <v>0</v>
      </c>
      <c r="W21" s="16">
        <f t="shared" si="13"/>
        <v>0</v>
      </c>
      <c r="X21" s="16">
        <f t="shared" si="14"/>
        <v>0</v>
      </c>
      <c r="Y21" s="11"/>
      <c r="Z21" s="11"/>
      <c r="AA21" s="11"/>
      <c r="AB21" s="11"/>
      <c r="AC21" s="11"/>
      <c r="AD21" s="11"/>
      <c r="AE21" s="11"/>
      <c r="AF21" s="11"/>
    </row>
    <row r="22" spans="1:32" ht="15.75" x14ac:dyDescent="0.25">
      <c r="A22" s="20" t="s">
        <v>10</v>
      </c>
      <c r="B22" s="6">
        <v>21</v>
      </c>
      <c r="C22" s="6">
        <v>0</v>
      </c>
      <c r="D22" s="6">
        <v>0</v>
      </c>
      <c r="E22" s="6">
        <v>1</v>
      </c>
      <c r="F22" s="6">
        <v>0</v>
      </c>
      <c r="G22" s="3">
        <v>104</v>
      </c>
      <c r="H22" s="7">
        <v>1</v>
      </c>
      <c r="I22" s="7">
        <v>0</v>
      </c>
      <c r="J22" s="9">
        <f t="shared" si="0"/>
        <v>1</v>
      </c>
      <c r="K22" s="9">
        <f t="shared" si="1"/>
        <v>0</v>
      </c>
      <c r="L22" s="9">
        <f t="shared" si="2"/>
        <v>1</v>
      </c>
      <c r="M22" s="9">
        <f t="shared" si="3"/>
        <v>0</v>
      </c>
      <c r="N22" s="9">
        <f t="shared" si="4"/>
        <v>0</v>
      </c>
      <c r="O22" s="9">
        <f t="shared" si="5"/>
        <v>1</v>
      </c>
      <c r="P22" s="9">
        <f t="shared" si="6"/>
        <v>0</v>
      </c>
      <c r="Q22" s="16">
        <f t="shared" si="7"/>
        <v>0</v>
      </c>
      <c r="R22" s="16">
        <f t="shared" si="8"/>
        <v>0</v>
      </c>
      <c r="S22" s="16">
        <f t="shared" si="9"/>
        <v>0</v>
      </c>
      <c r="T22" s="16">
        <f t="shared" si="10"/>
        <v>0</v>
      </c>
      <c r="U22" s="16">
        <f t="shared" si="11"/>
        <v>104</v>
      </c>
      <c r="V22" s="16">
        <f t="shared" si="12"/>
        <v>0</v>
      </c>
      <c r="W22" s="16">
        <f t="shared" si="13"/>
        <v>0</v>
      </c>
      <c r="X22" s="16">
        <f t="shared" si="14"/>
        <v>0</v>
      </c>
      <c r="Y22" s="11"/>
      <c r="Z22" s="11"/>
      <c r="AA22" s="11"/>
      <c r="AB22" s="11"/>
      <c r="AC22" s="11"/>
      <c r="AD22" s="11"/>
      <c r="AE22" s="11"/>
      <c r="AF22" s="11"/>
    </row>
    <row r="23" spans="1:32" ht="15.75" x14ac:dyDescent="0.25">
      <c r="A23" s="20" t="s">
        <v>2</v>
      </c>
      <c r="B23" s="6">
        <v>22</v>
      </c>
      <c r="C23" s="6">
        <v>0</v>
      </c>
      <c r="D23" s="6">
        <v>0</v>
      </c>
      <c r="E23" s="6">
        <v>1</v>
      </c>
      <c r="F23" s="6">
        <v>0</v>
      </c>
      <c r="G23" s="3">
        <v>109</v>
      </c>
      <c r="H23" s="7">
        <v>0</v>
      </c>
      <c r="I23" s="7">
        <v>0</v>
      </c>
      <c r="J23" s="9">
        <f t="shared" si="0"/>
        <v>0</v>
      </c>
      <c r="K23" s="9">
        <f t="shared" si="1"/>
        <v>0</v>
      </c>
      <c r="L23" s="9">
        <f t="shared" si="2"/>
        <v>0</v>
      </c>
      <c r="M23" s="9">
        <f t="shared" si="3"/>
        <v>0</v>
      </c>
      <c r="N23" s="9">
        <f t="shared" si="4"/>
        <v>0</v>
      </c>
      <c r="O23" s="9">
        <f t="shared" si="5"/>
        <v>0</v>
      </c>
      <c r="P23" s="9">
        <f t="shared" si="6"/>
        <v>0</v>
      </c>
      <c r="Q23" s="16">
        <f t="shared" si="7"/>
        <v>0</v>
      </c>
      <c r="R23" s="16">
        <f t="shared" si="8"/>
        <v>0</v>
      </c>
      <c r="S23" s="16">
        <f t="shared" si="9"/>
        <v>0</v>
      </c>
      <c r="T23" s="16">
        <f t="shared" si="10"/>
        <v>0</v>
      </c>
      <c r="U23" s="16">
        <f t="shared" si="11"/>
        <v>0</v>
      </c>
      <c r="V23" s="16">
        <f t="shared" si="12"/>
        <v>0</v>
      </c>
      <c r="W23" s="16">
        <f t="shared" si="13"/>
        <v>0</v>
      </c>
      <c r="X23" s="16">
        <f t="shared" si="14"/>
        <v>0</v>
      </c>
      <c r="Y23" s="11"/>
      <c r="Z23" s="11"/>
      <c r="AA23" s="11"/>
      <c r="AB23" s="11"/>
      <c r="AC23" s="11"/>
      <c r="AD23" s="11"/>
      <c r="AE23" s="11"/>
      <c r="AF23" s="11"/>
    </row>
    <row r="24" spans="1:32" ht="15.75" x14ac:dyDescent="0.25">
      <c r="A24" s="20" t="s">
        <v>19</v>
      </c>
      <c r="B24" s="6">
        <v>23</v>
      </c>
      <c r="C24" s="6">
        <v>0</v>
      </c>
      <c r="D24" s="6">
        <v>0</v>
      </c>
      <c r="E24" s="6">
        <v>1</v>
      </c>
      <c r="F24" s="6">
        <v>0</v>
      </c>
      <c r="G24" s="3">
        <v>84</v>
      </c>
      <c r="H24" s="7">
        <v>0</v>
      </c>
      <c r="I24" s="7">
        <v>0</v>
      </c>
      <c r="J24" s="9">
        <f t="shared" si="0"/>
        <v>0</v>
      </c>
      <c r="K24" s="9">
        <f t="shared" si="1"/>
        <v>0</v>
      </c>
      <c r="L24" s="9">
        <f t="shared" si="2"/>
        <v>0</v>
      </c>
      <c r="M24" s="9">
        <f t="shared" si="3"/>
        <v>0</v>
      </c>
      <c r="N24" s="9">
        <f t="shared" si="4"/>
        <v>0</v>
      </c>
      <c r="O24" s="9">
        <f t="shared" si="5"/>
        <v>0</v>
      </c>
      <c r="P24" s="9">
        <f t="shared" si="6"/>
        <v>0</v>
      </c>
      <c r="Q24" s="16">
        <f t="shared" si="7"/>
        <v>0</v>
      </c>
      <c r="R24" s="16">
        <f t="shared" si="8"/>
        <v>0</v>
      </c>
      <c r="S24" s="16">
        <f t="shared" si="9"/>
        <v>0</v>
      </c>
      <c r="T24" s="16">
        <f t="shared" si="10"/>
        <v>0</v>
      </c>
      <c r="U24" s="16">
        <f t="shared" si="11"/>
        <v>0</v>
      </c>
      <c r="V24" s="16">
        <f t="shared" si="12"/>
        <v>0</v>
      </c>
      <c r="W24" s="16">
        <f t="shared" si="13"/>
        <v>0</v>
      </c>
      <c r="X24" s="16">
        <f t="shared" si="14"/>
        <v>0</v>
      </c>
      <c r="Y24" s="11"/>
      <c r="Z24" s="11"/>
      <c r="AA24" s="11"/>
      <c r="AB24" s="11"/>
      <c r="AC24" s="11"/>
      <c r="AD24" s="11"/>
      <c r="AE24" s="11"/>
      <c r="AF24" s="11"/>
    </row>
    <row r="25" spans="1:32" ht="15.75" x14ac:dyDescent="0.25">
      <c r="A25" s="21" t="s">
        <v>5</v>
      </c>
      <c r="B25" s="6">
        <v>24</v>
      </c>
      <c r="C25" s="6">
        <v>0</v>
      </c>
      <c r="D25" s="6">
        <v>0</v>
      </c>
      <c r="E25" s="6">
        <v>0</v>
      </c>
      <c r="F25" s="6">
        <v>1</v>
      </c>
      <c r="G25" s="3">
        <v>80</v>
      </c>
      <c r="H25" s="7">
        <v>0</v>
      </c>
      <c r="I25" s="7">
        <v>1</v>
      </c>
      <c r="J25" s="9">
        <f t="shared" si="0"/>
        <v>1</v>
      </c>
      <c r="K25" s="9">
        <f t="shared" si="1"/>
        <v>0</v>
      </c>
      <c r="L25" s="9">
        <f t="shared" si="2"/>
        <v>1</v>
      </c>
      <c r="M25" s="9">
        <f t="shared" si="3"/>
        <v>0</v>
      </c>
      <c r="N25" s="9">
        <f t="shared" si="4"/>
        <v>0</v>
      </c>
      <c r="O25" s="9">
        <f t="shared" si="5"/>
        <v>0</v>
      </c>
      <c r="P25" s="9">
        <f t="shared" si="6"/>
        <v>0</v>
      </c>
      <c r="Q25" s="14">
        <f t="shared" si="7"/>
        <v>0</v>
      </c>
      <c r="R25" s="14">
        <f t="shared" si="8"/>
        <v>0</v>
      </c>
      <c r="S25" s="14">
        <f t="shared" si="9"/>
        <v>0</v>
      </c>
      <c r="T25" s="14">
        <f t="shared" si="10"/>
        <v>0</v>
      </c>
      <c r="U25" s="14">
        <f t="shared" si="11"/>
        <v>0</v>
      </c>
      <c r="V25" s="14">
        <f t="shared" si="12"/>
        <v>0</v>
      </c>
      <c r="W25" s="14">
        <f t="shared" si="13"/>
        <v>0</v>
      </c>
      <c r="X25" s="14">
        <f t="shared" si="14"/>
        <v>80</v>
      </c>
      <c r="Y25" s="11"/>
      <c r="Z25" s="11"/>
      <c r="AA25" s="11"/>
      <c r="AB25" s="11"/>
      <c r="AC25" s="11"/>
      <c r="AD25" s="11"/>
      <c r="AE25" s="11"/>
      <c r="AF25" s="11"/>
    </row>
    <row r="26" spans="1:32" ht="15.75" x14ac:dyDescent="0.25">
      <c r="A26" s="21" t="s">
        <v>18</v>
      </c>
      <c r="B26" s="6">
        <v>25</v>
      </c>
      <c r="C26" s="6">
        <v>0</v>
      </c>
      <c r="D26" s="6">
        <v>0</v>
      </c>
      <c r="E26" s="6">
        <v>0</v>
      </c>
      <c r="F26" s="6">
        <v>1</v>
      </c>
      <c r="G26" s="3">
        <v>97</v>
      </c>
      <c r="H26" s="7">
        <v>0</v>
      </c>
      <c r="I26" s="7">
        <v>0</v>
      </c>
      <c r="J26" s="9">
        <f t="shared" si="0"/>
        <v>0</v>
      </c>
      <c r="K26" s="9">
        <f t="shared" si="1"/>
        <v>0</v>
      </c>
      <c r="L26" s="9">
        <f t="shared" si="2"/>
        <v>0</v>
      </c>
      <c r="M26" s="9">
        <f t="shared" si="3"/>
        <v>0</v>
      </c>
      <c r="N26" s="9">
        <f t="shared" si="4"/>
        <v>0</v>
      </c>
      <c r="O26" s="9">
        <f t="shared" si="5"/>
        <v>0</v>
      </c>
      <c r="P26" s="9">
        <f t="shared" si="6"/>
        <v>0</v>
      </c>
      <c r="Q26" s="14">
        <f t="shared" si="7"/>
        <v>0</v>
      </c>
      <c r="R26" s="14">
        <f t="shared" si="8"/>
        <v>0</v>
      </c>
      <c r="S26" s="14">
        <f t="shared" si="9"/>
        <v>0</v>
      </c>
      <c r="T26" s="14">
        <f t="shared" si="10"/>
        <v>0</v>
      </c>
      <c r="U26" s="14">
        <f t="shared" si="11"/>
        <v>0</v>
      </c>
      <c r="V26" s="14">
        <f t="shared" si="12"/>
        <v>0</v>
      </c>
      <c r="W26" s="14">
        <f t="shared" si="13"/>
        <v>0</v>
      </c>
      <c r="X26" s="14">
        <f t="shared" si="14"/>
        <v>0</v>
      </c>
      <c r="Y26" s="11"/>
      <c r="Z26" s="11"/>
      <c r="AA26" s="11"/>
      <c r="AB26" s="11"/>
      <c r="AC26" s="11"/>
      <c r="AD26" s="11"/>
      <c r="AE26" s="11"/>
      <c r="AF26" s="11"/>
    </row>
    <row r="27" spans="1:32" ht="15.75" x14ac:dyDescent="0.25">
      <c r="A27" s="21" t="s">
        <v>20</v>
      </c>
      <c r="B27" s="6">
        <v>26</v>
      </c>
      <c r="C27" s="6">
        <v>0</v>
      </c>
      <c r="D27" s="6">
        <v>0</v>
      </c>
      <c r="E27" s="6">
        <v>0</v>
      </c>
      <c r="F27" s="6">
        <v>1</v>
      </c>
      <c r="G27" s="3">
        <v>90</v>
      </c>
      <c r="H27" s="7">
        <v>1</v>
      </c>
      <c r="I27" s="7">
        <v>0</v>
      </c>
      <c r="J27" s="9">
        <f t="shared" si="0"/>
        <v>1</v>
      </c>
      <c r="K27" s="9">
        <f t="shared" si="1"/>
        <v>0</v>
      </c>
      <c r="L27" s="9">
        <f t="shared" si="2"/>
        <v>1</v>
      </c>
      <c r="M27" s="9">
        <f t="shared" si="3"/>
        <v>0</v>
      </c>
      <c r="N27" s="9">
        <f t="shared" si="4"/>
        <v>0</v>
      </c>
      <c r="O27" s="9">
        <f t="shared" si="5"/>
        <v>0</v>
      </c>
      <c r="P27" s="9">
        <f t="shared" si="6"/>
        <v>1</v>
      </c>
      <c r="Q27" s="14">
        <f t="shared" si="7"/>
        <v>0</v>
      </c>
      <c r="R27" s="14">
        <f t="shared" si="8"/>
        <v>0</v>
      </c>
      <c r="S27" s="14">
        <f t="shared" si="9"/>
        <v>0</v>
      </c>
      <c r="T27" s="14">
        <f t="shared" si="10"/>
        <v>0</v>
      </c>
      <c r="U27" s="14">
        <f t="shared" si="11"/>
        <v>0</v>
      </c>
      <c r="V27" s="14">
        <f t="shared" si="12"/>
        <v>0</v>
      </c>
      <c r="W27" s="14">
        <f t="shared" si="13"/>
        <v>90</v>
      </c>
      <c r="X27" s="14">
        <f t="shared" si="14"/>
        <v>0</v>
      </c>
      <c r="Y27" s="11"/>
      <c r="Z27" s="11"/>
      <c r="AA27" s="11"/>
      <c r="AB27" s="11"/>
      <c r="AC27" s="11"/>
      <c r="AD27" s="11"/>
      <c r="AE27" s="11"/>
      <c r="AF27" s="11"/>
    </row>
    <row r="28" spans="1:32" ht="15.75" x14ac:dyDescent="0.25">
      <c r="A28" s="21" t="s">
        <v>23</v>
      </c>
      <c r="B28" s="6">
        <v>27</v>
      </c>
      <c r="C28" s="6">
        <v>0</v>
      </c>
      <c r="D28" s="6">
        <v>0</v>
      </c>
      <c r="E28" s="6">
        <v>0</v>
      </c>
      <c r="F28" s="6">
        <v>1</v>
      </c>
      <c r="G28" s="3">
        <v>74</v>
      </c>
      <c r="H28" s="7">
        <v>1</v>
      </c>
      <c r="I28" s="7">
        <v>0</v>
      </c>
      <c r="J28" s="9">
        <f t="shared" si="0"/>
        <v>1</v>
      </c>
      <c r="K28" s="9">
        <f t="shared" si="1"/>
        <v>0</v>
      </c>
      <c r="L28" s="9">
        <f t="shared" si="2"/>
        <v>1</v>
      </c>
      <c r="M28" s="9">
        <f t="shared" si="3"/>
        <v>0</v>
      </c>
      <c r="N28" s="9">
        <f t="shared" si="4"/>
        <v>0</v>
      </c>
      <c r="O28" s="9">
        <f t="shared" si="5"/>
        <v>0</v>
      </c>
      <c r="P28" s="9">
        <f t="shared" si="6"/>
        <v>1</v>
      </c>
      <c r="Q28" s="14">
        <f t="shared" si="7"/>
        <v>0</v>
      </c>
      <c r="R28" s="14">
        <f t="shared" si="8"/>
        <v>0</v>
      </c>
      <c r="S28" s="14">
        <f t="shared" si="9"/>
        <v>0</v>
      </c>
      <c r="T28" s="14">
        <f t="shared" si="10"/>
        <v>0</v>
      </c>
      <c r="U28" s="14">
        <f t="shared" si="11"/>
        <v>0</v>
      </c>
      <c r="V28" s="14">
        <f t="shared" si="12"/>
        <v>0</v>
      </c>
      <c r="W28" s="14">
        <f t="shared" si="13"/>
        <v>74</v>
      </c>
      <c r="X28" s="14">
        <f t="shared" si="14"/>
        <v>0</v>
      </c>
      <c r="Y28" s="11"/>
      <c r="Z28" s="11"/>
      <c r="AA28" s="11"/>
      <c r="AB28" s="11"/>
      <c r="AC28" s="11"/>
      <c r="AD28" s="11"/>
      <c r="AE28" s="11"/>
      <c r="AF28" s="11"/>
    </row>
    <row r="29" spans="1:32" ht="15.75" x14ac:dyDescent="0.25">
      <c r="A29" s="21" t="s">
        <v>38</v>
      </c>
      <c r="B29" s="6">
        <v>28</v>
      </c>
      <c r="C29" s="6">
        <v>0</v>
      </c>
      <c r="D29" s="6">
        <v>0</v>
      </c>
      <c r="E29" s="6">
        <v>0</v>
      </c>
      <c r="F29" s="6">
        <v>1</v>
      </c>
      <c r="G29" s="3">
        <v>95</v>
      </c>
      <c r="H29" s="7">
        <v>0</v>
      </c>
      <c r="I29" s="7">
        <v>0</v>
      </c>
      <c r="J29" s="9">
        <f t="shared" si="0"/>
        <v>0</v>
      </c>
      <c r="K29" s="9">
        <f t="shared" si="1"/>
        <v>0</v>
      </c>
      <c r="L29" s="9">
        <f t="shared" si="2"/>
        <v>0</v>
      </c>
      <c r="M29" s="9">
        <f t="shared" si="3"/>
        <v>0</v>
      </c>
      <c r="N29" s="9">
        <f t="shared" si="4"/>
        <v>0</v>
      </c>
      <c r="O29" s="9">
        <f t="shared" si="5"/>
        <v>0</v>
      </c>
      <c r="P29" s="9">
        <f t="shared" si="6"/>
        <v>0</v>
      </c>
      <c r="Q29" s="14">
        <f t="shared" si="7"/>
        <v>0</v>
      </c>
      <c r="R29" s="14">
        <f t="shared" si="8"/>
        <v>0</v>
      </c>
      <c r="S29" s="14">
        <f t="shared" si="9"/>
        <v>0</v>
      </c>
      <c r="T29" s="14">
        <f t="shared" si="10"/>
        <v>0</v>
      </c>
      <c r="U29" s="14">
        <f t="shared" si="11"/>
        <v>0</v>
      </c>
      <c r="V29" s="14">
        <f t="shared" si="12"/>
        <v>0</v>
      </c>
      <c r="W29" s="14">
        <f t="shared" si="13"/>
        <v>0</v>
      </c>
      <c r="X29" s="14">
        <f t="shared" si="14"/>
        <v>0</v>
      </c>
      <c r="Y29" s="11"/>
      <c r="Z29" s="11"/>
      <c r="AA29" s="11"/>
      <c r="AB29" s="11"/>
      <c r="AC29" s="11"/>
      <c r="AD29" s="11"/>
      <c r="AE29" s="11"/>
      <c r="AF29" s="11"/>
    </row>
    <row r="30" spans="1:32" ht="15.75" x14ac:dyDescent="0.25">
      <c r="A30" s="21" t="s">
        <v>6</v>
      </c>
      <c r="B30" s="6">
        <v>29</v>
      </c>
      <c r="C30" s="6">
        <v>0</v>
      </c>
      <c r="D30" s="6">
        <v>0</v>
      </c>
      <c r="E30" s="6">
        <v>0</v>
      </c>
      <c r="F30" s="6">
        <v>1</v>
      </c>
      <c r="G30" s="3">
        <v>96</v>
      </c>
      <c r="H30" s="7">
        <v>1</v>
      </c>
      <c r="I30" s="7">
        <v>0</v>
      </c>
      <c r="J30" s="9">
        <f t="shared" si="0"/>
        <v>1</v>
      </c>
      <c r="K30" s="9">
        <f t="shared" si="1"/>
        <v>0</v>
      </c>
      <c r="L30" s="9">
        <f t="shared" si="2"/>
        <v>1</v>
      </c>
      <c r="M30" s="9">
        <f t="shared" si="3"/>
        <v>0</v>
      </c>
      <c r="N30" s="9">
        <f t="shared" si="4"/>
        <v>0</v>
      </c>
      <c r="O30" s="9">
        <f t="shared" si="5"/>
        <v>0</v>
      </c>
      <c r="P30" s="9">
        <f t="shared" si="6"/>
        <v>1</v>
      </c>
      <c r="Q30" s="14">
        <f t="shared" si="7"/>
        <v>0</v>
      </c>
      <c r="R30" s="14">
        <f t="shared" si="8"/>
        <v>0</v>
      </c>
      <c r="S30" s="14">
        <f t="shared" si="9"/>
        <v>0</v>
      </c>
      <c r="T30" s="14">
        <f t="shared" si="10"/>
        <v>0</v>
      </c>
      <c r="U30" s="14">
        <f t="shared" si="11"/>
        <v>0</v>
      </c>
      <c r="V30" s="14">
        <f t="shared" si="12"/>
        <v>0</v>
      </c>
      <c r="W30" s="14">
        <f t="shared" si="13"/>
        <v>96</v>
      </c>
      <c r="X30" s="14">
        <f t="shared" si="14"/>
        <v>0</v>
      </c>
      <c r="Y30" s="11"/>
      <c r="Z30" s="11"/>
      <c r="AA30" s="11"/>
      <c r="AB30" s="11"/>
      <c r="AC30" s="11"/>
      <c r="AD30" s="11"/>
      <c r="AE30" s="11"/>
      <c r="AF30" s="11"/>
    </row>
    <row r="31" spans="1:32" ht="15.75" x14ac:dyDescent="0.25">
      <c r="A31" s="21" t="s">
        <v>22</v>
      </c>
      <c r="B31" s="6">
        <v>30</v>
      </c>
      <c r="C31" s="6">
        <v>0</v>
      </c>
      <c r="D31" s="6">
        <v>0</v>
      </c>
      <c r="E31" s="6">
        <v>0</v>
      </c>
      <c r="F31" s="6">
        <v>1</v>
      </c>
      <c r="G31" s="3">
        <v>111</v>
      </c>
      <c r="H31" s="7">
        <v>0</v>
      </c>
      <c r="I31" s="7">
        <v>1</v>
      </c>
      <c r="J31" s="9">
        <f t="shared" si="0"/>
        <v>1</v>
      </c>
      <c r="K31" s="9">
        <f t="shared" si="1"/>
        <v>0</v>
      </c>
      <c r="L31" s="9">
        <f t="shared" si="2"/>
        <v>1</v>
      </c>
      <c r="M31" s="9">
        <f t="shared" si="3"/>
        <v>0</v>
      </c>
      <c r="N31" s="9">
        <f t="shared" si="4"/>
        <v>0</v>
      </c>
      <c r="O31" s="9">
        <f t="shared" si="5"/>
        <v>0</v>
      </c>
      <c r="P31" s="9">
        <f t="shared" si="6"/>
        <v>0</v>
      </c>
      <c r="Q31" s="14">
        <f t="shared" si="7"/>
        <v>0</v>
      </c>
      <c r="R31" s="14">
        <f t="shared" si="8"/>
        <v>0</v>
      </c>
      <c r="S31" s="14">
        <f t="shared" si="9"/>
        <v>0</v>
      </c>
      <c r="T31" s="14">
        <f t="shared" si="10"/>
        <v>0</v>
      </c>
      <c r="U31" s="14">
        <f t="shared" si="11"/>
        <v>0</v>
      </c>
      <c r="V31" s="14">
        <f t="shared" si="12"/>
        <v>0</v>
      </c>
      <c r="W31" s="14">
        <f t="shared" si="13"/>
        <v>0</v>
      </c>
      <c r="X31" s="14">
        <f t="shared" si="14"/>
        <v>111</v>
      </c>
      <c r="Y31" s="11"/>
      <c r="Z31" s="11"/>
      <c r="AA31" s="11"/>
      <c r="AB31" s="11"/>
      <c r="AC31" s="11"/>
      <c r="AD31" s="11"/>
      <c r="AE31" s="11"/>
      <c r="AF31" s="11"/>
    </row>
    <row r="32" spans="1:32" ht="15.75" x14ac:dyDescent="0.25">
      <c r="A32" s="2"/>
      <c r="B32" s="2"/>
      <c r="C32" s="2"/>
      <c r="D32" s="2"/>
      <c r="E32" s="2"/>
      <c r="F32" s="1"/>
    </row>
    <row r="33" spans="1:22" ht="15.75" x14ac:dyDescent="0.25">
      <c r="A33" s="2" t="s">
        <v>45</v>
      </c>
      <c r="B33" s="2"/>
      <c r="C33" s="2"/>
      <c r="D33" s="2"/>
      <c r="E33" s="2"/>
      <c r="F33" s="1"/>
      <c r="H33">
        <f>SUM(H2:H31)</f>
        <v>14</v>
      </c>
      <c r="I33">
        <f>SUM(I2:I31)</f>
        <v>2</v>
      </c>
      <c r="K33">
        <f>SUM(K2:K31)</f>
        <v>8</v>
      </c>
      <c r="L33">
        <f>SUM(L2:L31)</f>
        <v>8</v>
      </c>
      <c r="N33" s="6"/>
      <c r="O33" t="s">
        <v>74</v>
      </c>
      <c r="U33" s="17"/>
      <c r="V33" t="s">
        <v>60</v>
      </c>
    </row>
    <row r="34" spans="1:22" ht="15.75" x14ac:dyDescent="0.25">
      <c r="A34" s="2"/>
      <c r="B34" s="2"/>
      <c r="C34" s="2"/>
      <c r="D34" s="2"/>
      <c r="E34" s="2"/>
      <c r="F34" s="1"/>
      <c r="N34" s="9"/>
      <c r="O34" t="s">
        <v>75</v>
      </c>
      <c r="U34" s="15"/>
      <c r="V34" t="s">
        <v>59</v>
      </c>
    </row>
    <row r="35" spans="1:22" ht="15.75" x14ac:dyDescent="0.25">
      <c r="A35" s="2" t="s">
        <v>36</v>
      </c>
      <c r="B35" s="2"/>
      <c r="C35" s="2"/>
      <c r="D35" s="2"/>
      <c r="E35" s="2"/>
      <c r="F35" s="1"/>
      <c r="N35" s="7"/>
      <c r="O35" t="s">
        <v>76</v>
      </c>
      <c r="U35" s="12"/>
      <c r="V35" t="s">
        <v>61</v>
      </c>
    </row>
    <row r="36" spans="1:22" ht="15.75" x14ac:dyDescent="0.25">
      <c r="A36" s="1" t="s">
        <v>35</v>
      </c>
      <c r="B36">
        <f>SUMPRODUCT(G2:G31,H2:H31)</f>
        <v>1298</v>
      </c>
      <c r="N36" s="3"/>
      <c r="O36" t="s">
        <v>77</v>
      </c>
      <c r="U36" s="14"/>
      <c r="V36" t="s">
        <v>62</v>
      </c>
    </row>
    <row r="37" spans="1:22" ht="15.75" x14ac:dyDescent="0.25">
      <c r="A37" s="1" t="s">
        <v>34</v>
      </c>
      <c r="B37">
        <f>SUMPRODUCT(G2:G31,I2:I31)</f>
        <v>191</v>
      </c>
    </row>
    <row r="39" spans="1:22" ht="15.75" x14ac:dyDescent="0.25">
      <c r="A39" s="1" t="s">
        <v>33</v>
      </c>
      <c r="B39">
        <f>B36+B37</f>
        <v>1489</v>
      </c>
    </row>
    <row r="41" spans="1:22" ht="15.75" x14ac:dyDescent="0.25">
      <c r="A41" s="1" t="s">
        <v>47</v>
      </c>
    </row>
    <row r="42" spans="1:22" x14ac:dyDescent="0.25">
      <c r="B42">
        <f>SUM(H2:H31) +SUM(I2:I31)</f>
        <v>16</v>
      </c>
      <c r="C42" t="s">
        <v>48</v>
      </c>
      <c r="D42">
        <v>16</v>
      </c>
    </row>
    <row r="43" spans="1:22" x14ac:dyDescent="0.25">
      <c r="C43" t="s">
        <v>49</v>
      </c>
      <c r="D43">
        <v>1</v>
      </c>
    </row>
    <row r="44" spans="1:22" x14ac:dyDescent="0.25">
      <c r="B44">
        <f>SUM(K2:K31)</f>
        <v>8</v>
      </c>
      <c r="C44" t="s">
        <v>49</v>
      </c>
      <c r="D44">
        <v>8</v>
      </c>
    </row>
    <row r="45" spans="1:22" x14ac:dyDescent="0.25">
      <c r="B45">
        <f>SUM(L2:L31)</f>
        <v>8</v>
      </c>
      <c r="C45" t="s">
        <v>49</v>
      </c>
      <c r="D45">
        <v>8</v>
      </c>
    </row>
    <row r="47" spans="1:22" x14ac:dyDescent="0.25">
      <c r="A47" t="s">
        <v>54</v>
      </c>
      <c r="B47">
        <f>SUM(M2:M31)</f>
        <v>4</v>
      </c>
      <c r="C47" t="s">
        <v>48</v>
      </c>
      <c r="D47">
        <f>SUM(N2:N31)</f>
        <v>4</v>
      </c>
    </row>
    <row r="48" spans="1:22" x14ac:dyDescent="0.25">
      <c r="A48" t="s">
        <v>55</v>
      </c>
      <c r="B48">
        <f>SUM(O2:O31)</f>
        <v>3</v>
      </c>
      <c r="C48" t="s">
        <v>48</v>
      </c>
      <c r="D48">
        <f>SUM(P2:P31)</f>
        <v>3</v>
      </c>
    </row>
    <row r="50" spans="1:4" x14ac:dyDescent="0.25">
      <c r="A50" t="s">
        <v>57</v>
      </c>
      <c r="B50">
        <f>B47</f>
        <v>4</v>
      </c>
      <c r="C50" t="s">
        <v>56</v>
      </c>
      <c r="D50">
        <f>B48</f>
        <v>3</v>
      </c>
    </row>
    <row r="51" spans="1:4" x14ac:dyDescent="0.25">
      <c r="B51" t="s">
        <v>58</v>
      </c>
    </row>
  </sheetData>
  <autoFilter ref="A1:X31">
    <sortState ref="A2:X31">
      <sortCondition ref="B1:B31"/>
    </sortState>
  </autoFilter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51"/>
  <sheetViews>
    <sheetView topLeftCell="B25" workbookViewId="0">
      <selection activeCell="K26" sqref="K26"/>
    </sheetView>
  </sheetViews>
  <sheetFormatPr defaultRowHeight="15" x14ac:dyDescent="0.25"/>
  <cols>
    <col min="1" max="1" width="21" bestFit="1" customWidth="1"/>
    <col min="25" max="25" width="7.28515625" customWidth="1"/>
    <col min="26" max="26" width="6.7109375" customWidth="1"/>
    <col min="27" max="27" width="6.5703125" customWidth="1"/>
  </cols>
  <sheetData>
    <row r="1" spans="1:32" ht="47.25" x14ac:dyDescent="0.25">
      <c r="A1" s="4" t="s">
        <v>25</v>
      </c>
      <c r="B1" s="4" t="s">
        <v>37</v>
      </c>
      <c r="C1" s="4" t="s">
        <v>28</v>
      </c>
      <c r="D1" s="4" t="s">
        <v>29</v>
      </c>
      <c r="E1" s="4" t="s">
        <v>30</v>
      </c>
      <c r="F1" s="4" t="s">
        <v>31</v>
      </c>
      <c r="G1" s="5" t="s">
        <v>32</v>
      </c>
      <c r="H1" s="5" t="s">
        <v>26</v>
      </c>
      <c r="I1" s="5" t="s">
        <v>27</v>
      </c>
      <c r="J1" s="13" t="s">
        <v>46</v>
      </c>
      <c r="K1" s="13" t="s">
        <v>43</v>
      </c>
      <c r="L1" s="13" t="s">
        <v>44</v>
      </c>
      <c r="M1" s="8" t="s">
        <v>51</v>
      </c>
      <c r="N1" s="8" t="s">
        <v>50</v>
      </c>
      <c r="O1" s="8" t="s">
        <v>52</v>
      </c>
      <c r="P1" s="8" t="s">
        <v>53</v>
      </c>
      <c r="Q1" s="8" t="s">
        <v>66</v>
      </c>
      <c r="R1" s="8" t="s">
        <v>67</v>
      </c>
      <c r="S1" s="8" t="s">
        <v>68</v>
      </c>
      <c r="T1" s="8" t="s">
        <v>69</v>
      </c>
      <c r="U1" s="8" t="s">
        <v>70</v>
      </c>
      <c r="V1" s="8" t="s">
        <v>71</v>
      </c>
      <c r="W1" s="8" t="s">
        <v>72</v>
      </c>
      <c r="X1" s="8" t="s">
        <v>73</v>
      </c>
      <c r="Y1" s="8"/>
      <c r="Z1" s="8"/>
      <c r="AA1" s="8"/>
      <c r="AB1" s="8"/>
    </row>
    <row r="2" spans="1:32" ht="15.75" x14ac:dyDescent="0.25">
      <c r="A2" s="18" t="s">
        <v>16</v>
      </c>
      <c r="B2" s="6">
        <v>1</v>
      </c>
      <c r="C2" s="6">
        <v>1</v>
      </c>
      <c r="D2" s="6">
        <v>0</v>
      </c>
      <c r="E2" s="6">
        <v>0</v>
      </c>
      <c r="F2" s="6">
        <v>0</v>
      </c>
      <c r="G2" s="3">
        <v>83</v>
      </c>
      <c r="H2" s="7">
        <v>0</v>
      </c>
      <c r="I2" s="7">
        <v>0</v>
      </c>
      <c r="J2" s="9">
        <f t="shared" ref="J2:J31" si="0">H2+I2</f>
        <v>0</v>
      </c>
      <c r="K2" s="9">
        <f t="shared" ref="K2:K31" si="1">(C2+D2)*(H2+I2)</f>
        <v>0</v>
      </c>
      <c r="L2" s="9">
        <f t="shared" ref="L2:L31" si="2">(E2+F2)*(H2+I2)</f>
        <v>0</v>
      </c>
      <c r="M2" s="9">
        <f t="shared" ref="M2:M31" si="3">C2*H2</f>
        <v>0</v>
      </c>
      <c r="N2" s="9">
        <f t="shared" ref="N2:N31" si="4">D2*H2</f>
        <v>0</v>
      </c>
      <c r="O2" s="9">
        <f t="shared" ref="O2:O31" si="5">E2*H2</f>
        <v>0</v>
      </c>
      <c r="P2" s="9">
        <f t="shared" ref="P2:P31" si="6">F2*H2</f>
        <v>0</v>
      </c>
      <c r="Q2" s="17">
        <f t="shared" ref="Q2:Q31" si="7">H2*G2*C2</f>
        <v>0</v>
      </c>
      <c r="R2" s="17">
        <f t="shared" ref="R2:R31" si="8">I2*G2*C2</f>
        <v>0</v>
      </c>
      <c r="S2" s="17">
        <f t="shared" ref="S2:S31" si="9">H2*G2*D2</f>
        <v>0</v>
      </c>
      <c r="T2" s="17">
        <f t="shared" ref="T2:T31" si="10">I2*G2*D2</f>
        <v>0</v>
      </c>
      <c r="U2" s="17">
        <f t="shared" ref="U2:U31" si="11">H2*G2*E2</f>
        <v>0</v>
      </c>
      <c r="V2" s="17">
        <f t="shared" ref="V2:V31" si="12">I2*G2*E2</f>
        <v>0</v>
      </c>
      <c r="W2" s="17">
        <f t="shared" ref="W2:W31" si="13">H2*G2*F2</f>
        <v>0</v>
      </c>
      <c r="X2" s="17">
        <f t="shared" ref="X2:X31" si="14">I2*G2*F2</f>
        <v>0</v>
      </c>
      <c r="Y2" s="11"/>
      <c r="Z2" s="11"/>
      <c r="AA2" s="11"/>
      <c r="AB2" s="11"/>
      <c r="AC2" s="11"/>
      <c r="AD2" s="11"/>
      <c r="AE2" s="11"/>
      <c r="AF2" s="11"/>
    </row>
    <row r="3" spans="1:32" ht="14.25" customHeight="1" x14ac:dyDescent="0.25">
      <c r="A3" s="18" t="s">
        <v>21</v>
      </c>
      <c r="B3" s="6">
        <v>2</v>
      </c>
      <c r="C3" s="6">
        <v>1</v>
      </c>
      <c r="D3" s="6">
        <v>0</v>
      </c>
      <c r="E3" s="6">
        <v>0</v>
      </c>
      <c r="F3" s="6">
        <v>0</v>
      </c>
      <c r="G3" s="3">
        <v>93</v>
      </c>
      <c r="H3" s="7">
        <v>1</v>
      </c>
      <c r="I3" s="7">
        <v>0</v>
      </c>
      <c r="J3" s="9">
        <f t="shared" si="0"/>
        <v>1</v>
      </c>
      <c r="K3" s="9">
        <f t="shared" si="1"/>
        <v>1</v>
      </c>
      <c r="L3" s="9">
        <f t="shared" si="2"/>
        <v>0</v>
      </c>
      <c r="M3" s="9">
        <f t="shared" si="3"/>
        <v>1</v>
      </c>
      <c r="N3" s="9">
        <f t="shared" si="4"/>
        <v>0</v>
      </c>
      <c r="O3" s="9">
        <f t="shared" si="5"/>
        <v>0</v>
      </c>
      <c r="P3" s="9">
        <f t="shared" si="6"/>
        <v>0</v>
      </c>
      <c r="Q3" s="17">
        <f t="shared" si="7"/>
        <v>93</v>
      </c>
      <c r="R3" s="17">
        <f t="shared" si="8"/>
        <v>0</v>
      </c>
      <c r="S3" s="17">
        <f t="shared" si="9"/>
        <v>0</v>
      </c>
      <c r="T3" s="17">
        <f t="shared" si="10"/>
        <v>0</v>
      </c>
      <c r="U3" s="17">
        <f t="shared" si="11"/>
        <v>0</v>
      </c>
      <c r="V3" s="17">
        <f t="shared" si="12"/>
        <v>0</v>
      </c>
      <c r="W3" s="17">
        <f t="shared" si="13"/>
        <v>0</v>
      </c>
      <c r="X3" s="17">
        <f t="shared" si="14"/>
        <v>0</v>
      </c>
      <c r="Y3" s="11"/>
      <c r="Z3" s="11"/>
      <c r="AA3" s="11"/>
      <c r="AB3" s="11"/>
      <c r="AC3" s="11"/>
      <c r="AD3" s="11"/>
      <c r="AE3" s="11"/>
      <c r="AF3" s="11"/>
    </row>
    <row r="4" spans="1:32" ht="15.75" x14ac:dyDescent="0.25">
      <c r="A4" s="18" t="s">
        <v>39</v>
      </c>
      <c r="B4" s="6">
        <v>3</v>
      </c>
      <c r="C4" s="6">
        <v>1</v>
      </c>
      <c r="D4" s="6">
        <v>0</v>
      </c>
      <c r="E4" s="6">
        <v>0</v>
      </c>
      <c r="F4" s="6">
        <v>0</v>
      </c>
      <c r="G4" s="3">
        <v>88</v>
      </c>
      <c r="H4" s="7">
        <v>0</v>
      </c>
      <c r="I4" s="7">
        <v>0</v>
      </c>
      <c r="J4" s="9">
        <f t="shared" si="0"/>
        <v>0</v>
      </c>
      <c r="K4" s="9">
        <f t="shared" si="1"/>
        <v>0</v>
      </c>
      <c r="L4" s="9">
        <f t="shared" si="2"/>
        <v>0</v>
      </c>
      <c r="M4" s="9">
        <f t="shared" si="3"/>
        <v>0</v>
      </c>
      <c r="N4" s="9">
        <f t="shared" si="4"/>
        <v>0</v>
      </c>
      <c r="O4" s="9">
        <f t="shared" si="5"/>
        <v>0</v>
      </c>
      <c r="P4" s="9">
        <f t="shared" si="6"/>
        <v>0</v>
      </c>
      <c r="Q4" s="17">
        <f t="shared" si="7"/>
        <v>0</v>
      </c>
      <c r="R4" s="17">
        <f t="shared" si="8"/>
        <v>0</v>
      </c>
      <c r="S4" s="17">
        <f t="shared" si="9"/>
        <v>0</v>
      </c>
      <c r="T4" s="17">
        <f t="shared" si="10"/>
        <v>0</v>
      </c>
      <c r="U4" s="17">
        <f t="shared" si="11"/>
        <v>0</v>
      </c>
      <c r="V4" s="17">
        <f t="shared" si="12"/>
        <v>0</v>
      </c>
      <c r="W4" s="17">
        <f t="shared" si="13"/>
        <v>0</v>
      </c>
      <c r="X4" s="17">
        <f t="shared" si="14"/>
        <v>0</v>
      </c>
      <c r="Y4" s="11"/>
      <c r="Z4" s="11"/>
      <c r="AA4" s="11"/>
      <c r="AB4" s="11"/>
      <c r="AC4" s="11"/>
      <c r="AD4" s="11"/>
      <c r="AE4" s="11"/>
      <c r="AF4" s="11"/>
    </row>
    <row r="5" spans="1:32" ht="15.75" x14ac:dyDescent="0.25">
      <c r="A5" s="18" t="s">
        <v>40</v>
      </c>
      <c r="B5" s="6">
        <v>4</v>
      </c>
      <c r="C5" s="6">
        <v>1</v>
      </c>
      <c r="D5" s="6">
        <v>0</v>
      </c>
      <c r="E5" s="6">
        <v>0</v>
      </c>
      <c r="F5" s="6">
        <v>0</v>
      </c>
      <c r="G5" s="3">
        <v>79</v>
      </c>
      <c r="H5" s="7">
        <v>0</v>
      </c>
      <c r="I5" s="7">
        <v>0</v>
      </c>
      <c r="J5" s="9">
        <f t="shared" si="0"/>
        <v>0</v>
      </c>
      <c r="K5" s="9">
        <f t="shared" si="1"/>
        <v>0</v>
      </c>
      <c r="L5" s="9">
        <f t="shared" si="2"/>
        <v>0</v>
      </c>
      <c r="M5" s="9">
        <f t="shared" si="3"/>
        <v>0</v>
      </c>
      <c r="N5" s="9">
        <f t="shared" si="4"/>
        <v>0</v>
      </c>
      <c r="O5" s="9">
        <f t="shared" si="5"/>
        <v>0</v>
      </c>
      <c r="P5" s="9">
        <f t="shared" si="6"/>
        <v>0</v>
      </c>
      <c r="Q5" s="17">
        <f t="shared" si="7"/>
        <v>0</v>
      </c>
      <c r="R5" s="17">
        <f t="shared" si="8"/>
        <v>0</v>
      </c>
      <c r="S5" s="17">
        <f t="shared" si="9"/>
        <v>0</v>
      </c>
      <c r="T5" s="17">
        <f t="shared" si="10"/>
        <v>0</v>
      </c>
      <c r="U5" s="17">
        <f t="shared" si="11"/>
        <v>0</v>
      </c>
      <c r="V5" s="17">
        <f t="shared" si="12"/>
        <v>0</v>
      </c>
      <c r="W5" s="17">
        <f t="shared" si="13"/>
        <v>0</v>
      </c>
      <c r="X5" s="17">
        <f t="shared" si="14"/>
        <v>0</v>
      </c>
      <c r="Y5" s="11"/>
      <c r="Z5" s="11"/>
      <c r="AA5" s="11"/>
      <c r="AB5" s="11"/>
      <c r="AC5" s="11"/>
      <c r="AD5" s="11"/>
      <c r="AE5" s="11"/>
      <c r="AF5" s="11"/>
    </row>
    <row r="6" spans="1:32" ht="15.75" x14ac:dyDescent="0.25">
      <c r="A6" s="18" t="s">
        <v>41</v>
      </c>
      <c r="B6" s="6">
        <v>5</v>
      </c>
      <c r="C6" s="6">
        <v>1</v>
      </c>
      <c r="D6" s="6">
        <v>0</v>
      </c>
      <c r="E6" s="6">
        <v>0</v>
      </c>
      <c r="F6" s="6">
        <v>0</v>
      </c>
      <c r="G6" s="3">
        <v>96</v>
      </c>
      <c r="H6" s="7">
        <v>1</v>
      </c>
      <c r="I6" s="7">
        <v>0</v>
      </c>
      <c r="J6" s="9">
        <f t="shared" si="0"/>
        <v>1</v>
      </c>
      <c r="K6" s="9">
        <f t="shared" si="1"/>
        <v>1</v>
      </c>
      <c r="L6" s="9">
        <f t="shared" si="2"/>
        <v>0</v>
      </c>
      <c r="M6" s="9">
        <f t="shared" si="3"/>
        <v>1</v>
      </c>
      <c r="N6" s="9">
        <f t="shared" si="4"/>
        <v>0</v>
      </c>
      <c r="O6" s="9">
        <f t="shared" si="5"/>
        <v>0</v>
      </c>
      <c r="P6" s="9">
        <f t="shared" si="6"/>
        <v>0</v>
      </c>
      <c r="Q6" s="17">
        <f t="shared" si="7"/>
        <v>96</v>
      </c>
      <c r="R6" s="17">
        <f t="shared" si="8"/>
        <v>0</v>
      </c>
      <c r="S6" s="17">
        <f t="shared" si="9"/>
        <v>0</v>
      </c>
      <c r="T6" s="17">
        <f t="shared" si="10"/>
        <v>0</v>
      </c>
      <c r="U6" s="17">
        <f t="shared" si="11"/>
        <v>0</v>
      </c>
      <c r="V6" s="17">
        <f t="shared" si="12"/>
        <v>0</v>
      </c>
      <c r="W6" s="17">
        <f t="shared" si="13"/>
        <v>0</v>
      </c>
      <c r="X6" s="17">
        <f t="shared" si="14"/>
        <v>0</v>
      </c>
      <c r="Y6" s="11"/>
      <c r="Z6" s="11"/>
      <c r="AA6" s="11"/>
      <c r="AB6" s="11"/>
      <c r="AC6" s="11"/>
      <c r="AD6" s="11"/>
      <c r="AE6" s="11"/>
      <c r="AF6" s="11"/>
    </row>
    <row r="7" spans="1:32" ht="15.75" x14ac:dyDescent="0.25">
      <c r="A7" s="18" t="s">
        <v>9</v>
      </c>
      <c r="B7" s="6">
        <v>6</v>
      </c>
      <c r="C7" s="6">
        <v>1</v>
      </c>
      <c r="D7" s="6">
        <v>0</v>
      </c>
      <c r="E7" s="6">
        <v>0</v>
      </c>
      <c r="F7" s="6">
        <v>0</v>
      </c>
      <c r="G7" s="3">
        <v>94</v>
      </c>
      <c r="H7" s="7">
        <v>0</v>
      </c>
      <c r="I7" s="7">
        <v>1</v>
      </c>
      <c r="J7" s="9">
        <f t="shared" si="0"/>
        <v>1</v>
      </c>
      <c r="K7" s="9">
        <f t="shared" si="1"/>
        <v>1</v>
      </c>
      <c r="L7" s="9">
        <f t="shared" si="2"/>
        <v>0</v>
      </c>
      <c r="M7" s="9">
        <f t="shared" si="3"/>
        <v>0</v>
      </c>
      <c r="N7" s="9">
        <f t="shared" si="4"/>
        <v>0</v>
      </c>
      <c r="O7" s="9">
        <f t="shared" si="5"/>
        <v>0</v>
      </c>
      <c r="P7" s="9">
        <f t="shared" si="6"/>
        <v>0</v>
      </c>
      <c r="Q7" s="17">
        <f t="shared" si="7"/>
        <v>0</v>
      </c>
      <c r="R7" s="17">
        <f t="shared" si="8"/>
        <v>94</v>
      </c>
      <c r="S7" s="17">
        <f t="shared" si="9"/>
        <v>0</v>
      </c>
      <c r="T7" s="17">
        <f t="shared" si="10"/>
        <v>0</v>
      </c>
      <c r="U7" s="17">
        <f t="shared" si="11"/>
        <v>0</v>
      </c>
      <c r="V7" s="17">
        <f t="shared" si="12"/>
        <v>0</v>
      </c>
      <c r="W7" s="17">
        <f t="shared" si="13"/>
        <v>0</v>
      </c>
      <c r="X7" s="17">
        <f t="shared" si="14"/>
        <v>0</v>
      </c>
      <c r="Y7" s="11"/>
      <c r="Z7" s="11"/>
      <c r="AA7" s="11"/>
      <c r="AB7" s="11"/>
      <c r="AC7" s="11"/>
      <c r="AD7" s="11"/>
      <c r="AE7" s="11"/>
      <c r="AF7" s="11"/>
    </row>
    <row r="8" spans="1:32" ht="15.75" x14ac:dyDescent="0.25">
      <c r="A8" s="18" t="s">
        <v>42</v>
      </c>
      <c r="B8" s="6">
        <v>7</v>
      </c>
      <c r="C8" s="6">
        <v>1</v>
      </c>
      <c r="D8" s="6">
        <v>0</v>
      </c>
      <c r="E8" s="6">
        <v>0</v>
      </c>
      <c r="F8" s="6">
        <v>0</v>
      </c>
      <c r="G8" s="3">
        <v>109</v>
      </c>
      <c r="H8" s="7">
        <v>1</v>
      </c>
      <c r="I8" s="7">
        <v>0</v>
      </c>
      <c r="J8" s="9">
        <f t="shared" si="0"/>
        <v>1</v>
      </c>
      <c r="K8" s="9">
        <f t="shared" si="1"/>
        <v>1</v>
      </c>
      <c r="L8" s="9">
        <f t="shared" si="2"/>
        <v>0</v>
      </c>
      <c r="M8" s="9">
        <f t="shared" si="3"/>
        <v>1</v>
      </c>
      <c r="N8" s="9">
        <f t="shared" si="4"/>
        <v>0</v>
      </c>
      <c r="O8" s="9">
        <f t="shared" si="5"/>
        <v>0</v>
      </c>
      <c r="P8" s="9">
        <f t="shared" si="6"/>
        <v>0</v>
      </c>
      <c r="Q8" s="17">
        <f t="shared" si="7"/>
        <v>109</v>
      </c>
      <c r="R8" s="17">
        <f t="shared" si="8"/>
        <v>0</v>
      </c>
      <c r="S8" s="17">
        <f t="shared" si="9"/>
        <v>0</v>
      </c>
      <c r="T8" s="17">
        <f t="shared" si="10"/>
        <v>0</v>
      </c>
      <c r="U8" s="17">
        <f t="shared" si="11"/>
        <v>0</v>
      </c>
      <c r="V8" s="17">
        <f t="shared" si="12"/>
        <v>0</v>
      </c>
      <c r="W8" s="17">
        <f t="shared" si="13"/>
        <v>0</v>
      </c>
      <c r="X8" s="17">
        <f t="shared" si="14"/>
        <v>0</v>
      </c>
      <c r="Y8" s="11"/>
      <c r="Z8" s="11"/>
      <c r="AA8" s="11"/>
      <c r="AB8" s="11"/>
      <c r="AC8" s="11"/>
      <c r="AD8" s="11"/>
      <c r="AE8" s="11"/>
      <c r="AF8" s="11"/>
    </row>
    <row r="9" spans="1:32" ht="15.75" x14ac:dyDescent="0.25">
      <c r="A9" s="18" t="s">
        <v>0</v>
      </c>
      <c r="B9" s="6">
        <v>8</v>
      </c>
      <c r="C9" s="6">
        <v>1</v>
      </c>
      <c r="D9" s="6">
        <v>0</v>
      </c>
      <c r="E9" s="6">
        <v>0</v>
      </c>
      <c r="F9" s="6">
        <v>0</v>
      </c>
      <c r="G9" s="3">
        <v>90</v>
      </c>
      <c r="H9" s="7">
        <v>0</v>
      </c>
      <c r="I9" s="7">
        <v>0</v>
      </c>
      <c r="J9" s="9">
        <f t="shared" si="0"/>
        <v>0</v>
      </c>
      <c r="K9" s="9">
        <f t="shared" si="1"/>
        <v>0</v>
      </c>
      <c r="L9" s="9">
        <f t="shared" si="2"/>
        <v>0</v>
      </c>
      <c r="M9" s="9">
        <f t="shared" si="3"/>
        <v>0</v>
      </c>
      <c r="N9" s="9">
        <f t="shared" si="4"/>
        <v>0</v>
      </c>
      <c r="O9" s="9">
        <f t="shared" si="5"/>
        <v>0</v>
      </c>
      <c r="P9" s="9">
        <f t="shared" si="6"/>
        <v>0</v>
      </c>
      <c r="Q9" s="17">
        <f t="shared" si="7"/>
        <v>0</v>
      </c>
      <c r="R9" s="17">
        <f t="shared" si="8"/>
        <v>0</v>
      </c>
      <c r="S9" s="17">
        <f t="shared" si="9"/>
        <v>0</v>
      </c>
      <c r="T9" s="17">
        <f t="shared" si="10"/>
        <v>0</v>
      </c>
      <c r="U9" s="17">
        <f t="shared" si="11"/>
        <v>0</v>
      </c>
      <c r="V9" s="17">
        <f t="shared" si="12"/>
        <v>0</v>
      </c>
      <c r="W9" s="17">
        <f t="shared" si="13"/>
        <v>0</v>
      </c>
      <c r="X9" s="17">
        <f t="shared" si="14"/>
        <v>0</v>
      </c>
      <c r="Y9" s="11"/>
      <c r="Z9" s="11"/>
      <c r="AA9" s="11"/>
      <c r="AB9" s="11"/>
      <c r="AC9" s="11"/>
      <c r="AD9" s="11"/>
      <c r="AE9" s="11"/>
      <c r="AF9" s="11"/>
    </row>
    <row r="10" spans="1:32" ht="15" customHeight="1" x14ac:dyDescent="0.25">
      <c r="A10" s="19" t="s">
        <v>8</v>
      </c>
      <c r="B10" s="6">
        <v>9</v>
      </c>
      <c r="C10" s="6">
        <v>0</v>
      </c>
      <c r="D10" s="6">
        <v>1</v>
      </c>
      <c r="E10" s="6">
        <v>0</v>
      </c>
      <c r="F10" s="6">
        <v>0</v>
      </c>
      <c r="G10" s="3">
        <v>117</v>
      </c>
      <c r="H10" s="7">
        <v>0</v>
      </c>
      <c r="I10" s="7">
        <v>1</v>
      </c>
      <c r="J10" s="9">
        <f t="shared" si="0"/>
        <v>1</v>
      </c>
      <c r="K10" s="9">
        <f t="shared" si="1"/>
        <v>1</v>
      </c>
      <c r="L10" s="9">
        <f t="shared" si="2"/>
        <v>0</v>
      </c>
      <c r="M10" s="9">
        <f t="shared" si="3"/>
        <v>0</v>
      </c>
      <c r="N10" s="9">
        <f t="shared" si="4"/>
        <v>0</v>
      </c>
      <c r="O10" s="9">
        <f t="shared" si="5"/>
        <v>0</v>
      </c>
      <c r="P10" s="9">
        <f t="shared" si="6"/>
        <v>0</v>
      </c>
      <c r="Q10" s="15">
        <f t="shared" si="7"/>
        <v>0</v>
      </c>
      <c r="R10" s="15">
        <f t="shared" si="8"/>
        <v>0</v>
      </c>
      <c r="S10" s="15">
        <f t="shared" si="9"/>
        <v>0</v>
      </c>
      <c r="T10" s="15">
        <f t="shared" si="10"/>
        <v>117</v>
      </c>
      <c r="U10" s="15">
        <f t="shared" si="11"/>
        <v>0</v>
      </c>
      <c r="V10" s="15">
        <f t="shared" si="12"/>
        <v>0</v>
      </c>
      <c r="W10" s="15">
        <f t="shared" si="13"/>
        <v>0</v>
      </c>
      <c r="X10" s="15">
        <f t="shared" si="14"/>
        <v>0</v>
      </c>
      <c r="Y10" s="11"/>
      <c r="Z10" s="11"/>
      <c r="AA10" s="11"/>
      <c r="AB10" s="11"/>
      <c r="AC10" s="11"/>
      <c r="AD10" s="11"/>
      <c r="AE10" s="11"/>
      <c r="AF10" s="11"/>
    </row>
    <row r="11" spans="1:32" ht="15.75" x14ac:dyDescent="0.25">
      <c r="A11" s="19" t="s">
        <v>17</v>
      </c>
      <c r="B11" s="6">
        <v>10</v>
      </c>
      <c r="C11" s="6">
        <v>0</v>
      </c>
      <c r="D11" s="6">
        <v>1</v>
      </c>
      <c r="E11" s="6">
        <v>0</v>
      </c>
      <c r="F11" s="6">
        <v>0</v>
      </c>
      <c r="G11" s="3">
        <v>52</v>
      </c>
      <c r="H11" s="7">
        <v>0</v>
      </c>
      <c r="I11" s="7">
        <v>0</v>
      </c>
      <c r="J11" s="9">
        <f t="shared" si="0"/>
        <v>0</v>
      </c>
      <c r="K11" s="9">
        <f t="shared" si="1"/>
        <v>0</v>
      </c>
      <c r="L11" s="9">
        <f t="shared" si="2"/>
        <v>0</v>
      </c>
      <c r="M11" s="9">
        <f t="shared" si="3"/>
        <v>0</v>
      </c>
      <c r="N11" s="9">
        <f t="shared" si="4"/>
        <v>0</v>
      </c>
      <c r="O11" s="9">
        <f t="shared" si="5"/>
        <v>0</v>
      </c>
      <c r="P11" s="9">
        <f t="shared" si="6"/>
        <v>0</v>
      </c>
      <c r="Q11" s="15">
        <f t="shared" si="7"/>
        <v>0</v>
      </c>
      <c r="R11" s="15">
        <f t="shared" si="8"/>
        <v>0</v>
      </c>
      <c r="S11" s="15">
        <f t="shared" si="9"/>
        <v>0</v>
      </c>
      <c r="T11" s="15">
        <f t="shared" si="10"/>
        <v>0</v>
      </c>
      <c r="U11" s="15">
        <f t="shared" si="11"/>
        <v>0</v>
      </c>
      <c r="V11" s="15">
        <f t="shared" si="12"/>
        <v>0</v>
      </c>
      <c r="W11" s="15">
        <f t="shared" si="13"/>
        <v>0</v>
      </c>
      <c r="X11" s="15">
        <f t="shared" si="14"/>
        <v>0</v>
      </c>
      <c r="Y11" s="11"/>
      <c r="Z11" s="11"/>
      <c r="AA11" s="11"/>
      <c r="AB11" s="11"/>
      <c r="AC11" s="11"/>
      <c r="AD11" s="11"/>
      <c r="AE11" s="11"/>
      <c r="AF11" s="11"/>
    </row>
    <row r="12" spans="1:32" ht="15.75" x14ac:dyDescent="0.25">
      <c r="A12" s="19" t="s">
        <v>11</v>
      </c>
      <c r="B12" s="6">
        <v>11</v>
      </c>
      <c r="C12" s="6">
        <v>0</v>
      </c>
      <c r="D12" s="6">
        <v>1</v>
      </c>
      <c r="E12" s="6">
        <v>0</v>
      </c>
      <c r="F12" s="6">
        <v>0</v>
      </c>
      <c r="G12" s="3">
        <v>93</v>
      </c>
      <c r="H12" s="7">
        <v>1</v>
      </c>
      <c r="I12" s="7">
        <v>0</v>
      </c>
      <c r="J12" s="9">
        <f t="shared" si="0"/>
        <v>1</v>
      </c>
      <c r="K12" s="9">
        <f t="shared" si="1"/>
        <v>1</v>
      </c>
      <c r="L12" s="9">
        <f t="shared" si="2"/>
        <v>0</v>
      </c>
      <c r="M12" s="9">
        <f t="shared" si="3"/>
        <v>0</v>
      </c>
      <c r="N12" s="9">
        <f t="shared" si="4"/>
        <v>1</v>
      </c>
      <c r="O12" s="9">
        <f t="shared" si="5"/>
        <v>0</v>
      </c>
      <c r="P12" s="9">
        <f t="shared" si="6"/>
        <v>0</v>
      </c>
      <c r="Q12" s="15">
        <f t="shared" si="7"/>
        <v>0</v>
      </c>
      <c r="R12" s="15">
        <f t="shared" si="8"/>
        <v>0</v>
      </c>
      <c r="S12" s="15">
        <f t="shared" si="9"/>
        <v>93</v>
      </c>
      <c r="T12" s="15">
        <f t="shared" si="10"/>
        <v>0</v>
      </c>
      <c r="U12" s="15">
        <f t="shared" si="11"/>
        <v>0</v>
      </c>
      <c r="V12" s="15">
        <f t="shared" si="12"/>
        <v>0</v>
      </c>
      <c r="W12" s="15">
        <f t="shared" si="13"/>
        <v>0</v>
      </c>
      <c r="X12" s="15">
        <f t="shared" si="14"/>
        <v>0</v>
      </c>
      <c r="Y12" s="11"/>
      <c r="Z12" s="11"/>
      <c r="AA12" s="11"/>
      <c r="AB12" s="11"/>
      <c r="AC12" s="11"/>
      <c r="AD12" s="11"/>
      <c r="AE12" s="11"/>
      <c r="AF12" s="11"/>
    </row>
    <row r="13" spans="1:32" ht="15.75" x14ac:dyDescent="0.25">
      <c r="A13" s="19" t="s">
        <v>3</v>
      </c>
      <c r="B13" s="6">
        <v>12</v>
      </c>
      <c r="C13" s="6">
        <v>0</v>
      </c>
      <c r="D13" s="6">
        <v>1</v>
      </c>
      <c r="E13" s="6">
        <v>0</v>
      </c>
      <c r="F13" s="6">
        <v>0</v>
      </c>
      <c r="G13" s="3">
        <v>66</v>
      </c>
      <c r="H13" s="7">
        <v>0</v>
      </c>
      <c r="I13" s="7">
        <v>0</v>
      </c>
      <c r="J13" s="9">
        <f t="shared" si="0"/>
        <v>0</v>
      </c>
      <c r="K13" s="9">
        <f t="shared" si="1"/>
        <v>0</v>
      </c>
      <c r="L13" s="9">
        <f t="shared" si="2"/>
        <v>0</v>
      </c>
      <c r="M13" s="9">
        <f t="shared" si="3"/>
        <v>0</v>
      </c>
      <c r="N13" s="9">
        <f t="shared" si="4"/>
        <v>0</v>
      </c>
      <c r="O13" s="9">
        <f t="shared" si="5"/>
        <v>0</v>
      </c>
      <c r="P13" s="9">
        <f t="shared" si="6"/>
        <v>0</v>
      </c>
      <c r="Q13" s="15">
        <f t="shared" si="7"/>
        <v>0</v>
      </c>
      <c r="R13" s="15">
        <f t="shared" si="8"/>
        <v>0</v>
      </c>
      <c r="S13" s="15">
        <f t="shared" si="9"/>
        <v>0</v>
      </c>
      <c r="T13" s="15">
        <f t="shared" si="10"/>
        <v>0</v>
      </c>
      <c r="U13" s="15">
        <f t="shared" si="11"/>
        <v>0</v>
      </c>
      <c r="V13" s="15">
        <f t="shared" si="12"/>
        <v>0</v>
      </c>
      <c r="W13" s="15">
        <f t="shared" si="13"/>
        <v>0</v>
      </c>
      <c r="X13" s="15">
        <f t="shared" si="14"/>
        <v>0</v>
      </c>
      <c r="Y13" s="11"/>
      <c r="Z13" s="11"/>
      <c r="AA13" s="11"/>
      <c r="AB13" s="11"/>
      <c r="AC13" s="11"/>
      <c r="AD13" s="11"/>
      <c r="AE13" s="11"/>
      <c r="AF13" s="11"/>
    </row>
    <row r="14" spans="1:32" ht="15.75" x14ac:dyDescent="0.25">
      <c r="A14" s="19" t="s">
        <v>15</v>
      </c>
      <c r="B14" s="6">
        <v>13</v>
      </c>
      <c r="C14" s="6">
        <v>0</v>
      </c>
      <c r="D14" s="6">
        <v>1</v>
      </c>
      <c r="E14" s="6">
        <v>0</v>
      </c>
      <c r="F14" s="6">
        <v>0</v>
      </c>
      <c r="G14" s="3">
        <v>100</v>
      </c>
      <c r="H14" s="7">
        <v>1</v>
      </c>
      <c r="I14" s="7">
        <v>0</v>
      </c>
      <c r="J14" s="9">
        <f t="shared" si="0"/>
        <v>1</v>
      </c>
      <c r="K14" s="9">
        <f t="shared" si="1"/>
        <v>1</v>
      </c>
      <c r="L14" s="9">
        <f t="shared" si="2"/>
        <v>0</v>
      </c>
      <c r="M14" s="9">
        <f t="shared" si="3"/>
        <v>0</v>
      </c>
      <c r="N14" s="9">
        <f t="shared" si="4"/>
        <v>1</v>
      </c>
      <c r="O14" s="9">
        <f t="shared" si="5"/>
        <v>0</v>
      </c>
      <c r="P14" s="9">
        <f t="shared" si="6"/>
        <v>0</v>
      </c>
      <c r="Q14" s="15">
        <f t="shared" si="7"/>
        <v>0</v>
      </c>
      <c r="R14" s="15">
        <f t="shared" si="8"/>
        <v>0</v>
      </c>
      <c r="S14" s="15">
        <f t="shared" si="9"/>
        <v>100</v>
      </c>
      <c r="T14" s="15">
        <f t="shared" si="10"/>
        <v>0</v>
      </c>
      <c r="U14" s="15">
        <f t="shared" si="11"/>
        <v>0</v>
      </c>
      <c r="V14" s="15">
        <f t="shared" si="12"/>
        <v>0</v>
      </c>
      <c r="W14" s="15">
        <f t="shared" si="13"/>
        <v>0</v>
      </c>
      <c r="X14" s="15">
        <f t="shared" si="14"/>
        <v>0</v>
      </c>
      <c r="Y14" s="11"/>
      <c r="Z14" s="11"/>
      <c r="AA14" s="11"/>
      <c r="AB14" s="11"/>
      <c r="AC14" s="11"/>
      <c r="AD14" s="11"/>
      <c r="AE14" s="11"/>
      <c r="AF14" s="11"/>
    </row>
    <row r="15" spans="1:32" ht="15.75" x14ac:dyDescent="0.25">
      <c r="A15" s="19" t="s">
        <v>14</v>
      </c>
      <c r="B15" s="6">
        <v>14</v>
      </c>
      <c r="C15" s="6">
        <v>0</v>
      </c>
      <c r="D15" s="6">
        <v>1</v>
      </c>
      <c r="E15" s="6">
        <v>0</v>
      </c>
      <c r="F15" s="6">
        <v>0</v>
      </c>
      <c r="G15" s="3">
        <v>88</v>
      </c>
      <c r="H15" s="7">
        <v>0</v>
      </c>
      <c r="I15" s="7">
        <v>0</v>
      </c>
      <c r="J15" s="9">
        <f t="shared" si="0"/>
        <v>0</v>
      </c>
      <c r="K15" s="9">
        <f t="shared" si="1"/>
        <v>0</v>
      </c>
      <c r="L15" s="9">
        <f t="shared" si="2"/>
        <v>0</v>
      </c>
      <c r="M15" s="9">
        <f t="shared" si="3"/>
        <v>0</v>
      </c>
      <c r="N15" s="9">
        <f t="shared" si="4"/>
        <v>0</v>
      </c>
      <c r="O15" s="9">
        <f t="shared" si="5"/>
        <v>0</v>
      </c>
      <c r="P15" s="9">
        <f t="shared" si="6"/>
        <v>0</v>
      </c>
      <c r="Q15" s="15">
        <f t="shared" si="7"/>
        <v>0</v>
      </c>
      <c r="R15" s="15">
        <f t="shared" si="8"/>
        <v>0</v>
      </c>
      <c r="S15" s="15">
        <f t="shared" si="9"/>
        <v>0</v>
      </c>
      <c r="T15" s="15">
        <f t="shared" si="10"/>
        <v>0</v>
      </c>
      <c r="U15" s="15">
        <f t="shared" si="11"/>
        <v>0</v>
      </c>
      <c r="V15" s="15">
        <f t="shared" si="12"/>
        <v>0</v>
      </c>
      <c r="W15" s="15">
        <f t="shared" si="13"/>
        <v>0</v>
      </c>
      <c r="X15" s="15">
        <f t="shared" si="14"/>
        <v>0</v>
      </c>
      <c r="Y15" s="11"/>
      <c r="Z15" s="11"/>
      <c r="AA15" s="11"/>
      <c r="AB15" s="11"/>
      <c r="AC15" s="11"/>
      <c r="AD15" s="11"/>
      <c r="AE15" s="11"/>
      <c r="AF15" s="11"/>
    </row>
    <row r="16" spans="1:32" ht="15.75" x14ac:dyDescent="0.25">
      <c r="A16" s="19" t="s">
        <v>7</v>
      </c>
      <c r="B16" s="6">
        <v>15</v>
      </c>
      <c r="C16" s="6">
        <v>0</v>
      </c>
      <c r="D16" s="6">
        <v>1</v>
      </c>
      <c r="E16" s="6">
        <v>0</v>
      </c>
      <c r="F16" s="6">
        <v>0</v>
      </c>
      <c r="G16" s="3">
        <v>101</v>
      </c>
      <c r="H16" s="7">
        <v>1</v>
      </c>
      <c r="I16" s="7">
        <v>0</v>
      </c>
      <c r="J16" s="9">
        <f t="shared" si="0"/>
        <v>1</v>
      </c>
      <c r="K16" s="9">
        <f t="shared" si="1"/>
        <v>1</v>
      </c>
      <c r="L16" s="9">
        <f t="shared" si="2"/>
        <v>0</v>
      </c>
      <c r="M16" s="9">
        <f t="shared" si="3"/>
        <v>0</v>
      </c>
      <c r="N16" s="9">
        <f t="shared" si="4"/>
        <v>1</v>
      </c>
      <c r="O16" s="9">
        <f t="shared" si="5"/>
        <v>0</v>
      </c>
      <c r="P16" s="9">
        <f t="shared" si="6"/>
        <v>0</v>
      </c>
      <c r="Q16" s="15">
        <f t="shared" si="7"/>
        <v>0</v>
      </c>
      <c r="R16" s="15">
        <f t="shared" si="8"/>
        <v>0</v>
      </c>
      <c r="S16" s="15">
        <f t="shared" si="9"/>
        <v>101</v>
      </c>
      <c r="T16" s="15">
        <f t="shared" si="10"/>
        <v>0</v>
      </c>
      <c r="U16" s="15">
        <f t="shared" si="11"/>
        <v>0</v>
      </c>
      <c r="V16" s="15">
        <f t="shared" si="12"/>
        <v>0</v>
      </c>
      <c r="W16" s="15">
        <f t="shared" si="13"/>
        <v>0</v>
      </c>
      <c r="X16" s="15">
        <f t="shared" si="14"/>
        <v>0</v>
      </c>
      <c r="Y16" s="11"/>
      <c r="Z16" s="11"/>
      <c r="AA16" s="11"/>
      <c r="AB16" s="11"/>
      <c r="AC16" s="11"/>
      <c r="AD16" s="11"/>
      <c r="AE16" s="11"/>
      <c r="AF16" s="11"/>
    </row>
    <row r="17" spans="1:32" ht="15.75" x14ac:dyDescent="0.25">
      <c r="A17" s="19" t="s">
        <v>24</v>
      </c>
      <c r="B17" s="6">
        <v>16</v>
      </c>
      <c r="C17" s="6">
        <v>0</v>
      </c>
      <c r="D17" s="6">
        <v>1</v>
      </c>
      <c r="E17" s="6">
        <v>0</v>
      </c>
      <c r="F17" s="6">
        <v>0</v>
      </c>
      <c r="G17" s="3">
        <v>84</v>
      </c>
      <c r="H17" s="7">
        <v>0</v>
      </c>
      <c r="I17" s="7">
        <v>0</v>
      </c>
      <c r="J17" s="9">
        <f t="shared" si="0"/>
        <v>0</v>
      </c>
      <c r="K17" s="9">
        <f t="shared" si="1"/>
        <v>0</v>
      </c>
      <c r="L17" s="9">
        <f t="shared" si="2"/>
        <v>0</v>
      </c>
      <c r="M17" s="9">
        <f t="shared" si="3"/>
        <v>0</v>
      </c>
      <c r="N17" s="9">
        <f t="shared" si="4"/>
        <v>0</v>
      </c>
      <c r="O17" s="9">
        <f t="shared" si="5"/>
        <v>0</v>
      </c>
      <c r="P17" s="9">
        <f t="shared" si="6"/>
        <v>0</v>
      </c>
      <c r="Q17" s="15">
        <f t="shared" si="7"/>
        <v>0</v>
      </c>
      <c r="R17" s="15">
        <f t="shared" si="8"/>
        <v>0</v>
      </c>
      <c r="S17" s="15">
        <f t="shared" si="9"/>
        <v>0</v>
      </c>
      <c r="T17" s="15">
        <f t="shared" si="10"/>
        <v>0</v>
      </c>
      <c r="U17" s="15">
        <f t="shared" si="11"/>
        <v>0</v>
      </c>
      <c r="V17" s="15">
        <f t="shared" si="12"/>
        <v>0</v>
      </c>
      <c r="W17" s="15">
        <f t="shared" si="13"/>
        <v>0</v>
      </c>
      <c r="X17" s="15">
        <f t="shared" si="14"/>
        <v>0</v>
      </c>
      <c r="Y17" s="11"/>
      <c r="Z17" s="11"/>
      <c r="AA17" s="11"/>
      <c r="AB17" s="11"/>
      <c r="AC17" s="11"/>
      <c r="AD17" s="11"/>
      <c r="AE17" s="11"/>
      <c r="AF17" s="11"/>
    </row>
    <row r="18" spans="1:32" ht="15.75" x14ac:dyDescent="0.25">
      <c r="A18" s="20" t="s">
        <v>4</v>
      </c>
      <c r="B18" s="6">
        <v>17</v>
      </c>
      <c r="C18" s="6">
        <v>0</v>
      </c>
      <c r="D18" s="6">
        <v>0</v>
      </c>
      <c r="E18" s="6">
        <v>1</v>
      </c>
      <c r="F18" s="6">
        <v>0</v>
      </c>
      <c r="G18" s="3">
        <v>107</v>
      </c>
      <c r="H18" s="7">
        <v>0</v>
      </c>
      <c r="I18" s="7">
        <v>1</v>
      </c>
      <c r="J18" s="9">
        <f t="shared" si="0"/>
        <v>1</v>
      </c>
      <c r="K18" s="9">
        <f t="shared" si="1"/>
        <v>0</v>
      </c>
      <c r="L18" s="9">
        <f t="shared" si="2"/>
        <v>1</v>
      </c>
      <c r="M18" s="9">
        <f t="shared" si="3"/>
        <v>0</v>
      </c>
      <c r="N18" s="9">
        <f t="shared" si="4"/>
        <v>0</v>
      </c>
      <c r="O18" s="9">
        <f t="shared" si="5"/>
        <v>0</v>
      </c>
      <c r="P18" s="9">
        <f t="shared" si="6"/>
        <v>0</v>
      </c>
      <c r="Q18" s="16">
        <f t="shared" si="7"/>
        <v>0</v>
      </c>
      <c r="R18" s="16">
        <f t="shared" si="8"/>
        <v>0</v>
      </c>
      <c r="S18" s="16">
        <f t="shared" si="9"/>
        <v>0</v>
      </c>
      <c r="T18" s="16">
        <f t="shared" si="10"/>
        <v>0</v>
      </c>
      <c r="U18" s="16">
        <f t="shared" si="11"/>
        <v>0</v>
      </c>
      <c r="V18" s="16">
        <f t="shared" si="12"/>
        <v>107</v>
      </c>
      <c r="W18" s="16">
        <f t="shared" si="13"/>
        <v>0</v>
      </c>
      <c r="X18" s="16">
        <f t="shared" si="14"/>
        <v>0</v>
      </c>
      <c r="Y18" s="11"/>
      <c r="Z18" s="11"/>
      <c r="AA18" s="11"/>
      <c r="AB18" s="11"/>
      <c r="AC18" s="11"/>
      <c r="AD18" s="11"/>
      <c r="AE18" s="11"/>
      <c r="AF18" s="11"/>
    </row>
    <row r="19" spans="1:32" ht="15.75" x14ac:dyDescent="0.25">
      <c r="A19" s="20" t="s">
        <v>12</v>
      </c>
      <c r="B19" s="6">
        <v>18</v>
      </c>
      <c r="C19" s="6">
        <v>0</v>
      </c>
      <c r="D19" s="6">
        <v>0</v>
      </c>
      <c r="E19" s="6">
        <v>1</v>
      </c>
      <c r="F19" s="6">
        <v>0</v>
      </c>
      <c r="G19" s="3">
        <v>112</v>
      </c>
      <c r="H19" s="7">
        <v>1</v>
      </c>
      <c r="I19" s="7">
        <v>0</v>
      </c>
      <c r="J19" s="9">
        <f t="shared" si="0"/>
        <v>1</v>
      </c>
      <c r="K19" s="9">
        <f t="shared" si="1"/>
        <v>0</v>
      </c>
      <c r="L19" s="9">
        <f t="shared" si="2"/>
        <v>1</v>
      </c>
      <c r="M19" s="9">
        <f t="shared" si="3"/>
        <v>0</v>
      </c>
      <c r="N19" s="9">
        <f t="shared" si="4"/>
        <v>0</v>
      </c>
      <c r="O19" s="9">
        <f t="shared" si="5"/>
        <v>1</v>
      </c>
      <c r="P19" s="9">
        <f t="shared" si="6"/>
        <v>0</v>
      </c>
      <c r="Q19" s="16">
        <f t="shared" si="7"/>
        <v>0</v>
      </c>
      <c r="R19" s="16">
        <f t="shared" si="8"/>
        <v>0</v>
      </c>
      <c r="S19" s="16">
        <f t="shared" si="9"/>
        <v>0</v>
      </c>
      <c r="T19" s="16">
        <f t="shared" si="10"/>
        <v>0</v>
      </c>
      <c r="U19" s="16">
        <f t="shared" si="11"/>
        <v>112</v>
      </c>
      <c r="V19" s="16">
        <f t="shared" si="12"/>
        <v>0</v>
      </c>
      <c r="W19" s="16">
        <f t="shared" si="13"/>
        <v>0</v>
      </c>
      <c r="X19" s="16">
        <f t="shared" si="14"/>
        <v>0</v>
      </c>
      <c r="Y19" s="11"/>
      <c r="Z19" s="11"/>
      <c r="AA19" s="11"/>
      <c r="AB19" s="11"/>
      <c r="AC19" s="11"/>
      <c r="AD19" s="11"/>
      <c r="AE19" s="11"/>
      <c r="AF19" s="11"/>
    </row>
    <row r="20" spans="1:32" ht="15.75" x14ac:dyDescent="0.25">
      <c r="A20" s="20" t="s">
        <v>1</v>
      </c>
      <c r="B20" s="6">
        <v>19</v>
      </c>
      <c r="C20" s="6">
        <v>0</v>
      </c>
      <c r="D20" s="6">
        <v>0</v>
      </c>
      <c r="E20" s="6">
        <v>1</v>
      </c>
      <c r="F20" s="6">
        <v>0</v>
      </c>
      <c r="G20" s="3">
        <v>91</v>
      </c>
      <c r="H20" s="7">
        <v>0</v>
      </c>
      <c r="I20" s="7">
        <v>1</v>
      </c>
      <c r="J20" s="9">
        <f t="shared" si="0"/>
        <v>1</v>
      </c>
      <c r="K20" s="9">
        <f t="shared" si="1"/>
        <v>0</v>
      </c>
      <c r="L20" s="9">
        <f t="shared" si="2"/>
        <v>1</v>
      </c>
      <c r="M20" s="9">
        <f t="shared" si="3"/>
        <v>0</v>
      </c>
      <c r="N20" s="9">
        <f t="shared" si="4"/>
        <v>0</v>
      </c>
      <c r="O20" s="9">
        <f t="shared" si="5"/>
        <v>0</v>
      </c>
      <c r="P20" s="9">
        <f t="shared" si="6"/>
        <v>0</v>
      </c>
      <c r="Q20" s="16">
        <f t="shared" si="7"/>
        <v>0</v>
      </c>
      <c r="R20" s="16">
        <f t="shared" si="8"/>
        <v>0</v>
      </c>
      <c r="S20" s="16">
        <f t="shared" si="9"/>
        <v>0</v>
      </c>
      <c r="T20" s="16">
        <f t="shared" si="10"/>
        <v>0</v>
      </c>
      <c r="U20" s="16">
        <f t="shared" si="11"/>
        <v>0</v>
      </c>
      <c r="V20" s="16">
        <f t="shared" si="12"/>
        <v>91</v>
      </c>
      <c r="W20" s="16">
        <f t="shared" si="13"/>
        <v>0</v>
      </c>
      <c r="X20" s="16">
        <f t="shared" si="14"/>
        <v>0</v>
      </c>
      <c r="Y20" s="11"/>
      <c r="Z20" s="11"/>
      <c r="AA20" s="11"/>
      <c r="AB20" s="11"/>
      <c r="AC20" s="11"/>
      <c r="AD20" s="11"/>
      <c r="AE20" s="11"/>
      <c r="AF20" s="11"/>
    </row>
    <row r="21" spans="1:32" ht="15.75" x14ac:dyDescent="0.25">
      <c r="A21" s="20" t="s">
        <v>13</v>
      </c>
      <c r="B21" s="6">
        <v>20</v>
      </c>
      <c r="C21" s="6">
        <v>0</v>
      </c>
      <c r="D21" s="6">
        <v>0</v>
      </c>
      <c r="E21" s="6">
        <v>1</v>
      </c>
      <c r="F21" s="6">
        <v>0</v>
      </c>
      <c r="G21" s="3">
        <v>98</v>
      </c>
      <c r="H21" s="7">
        <v>1</v>
      </c>
      <c r="I21" s="7">
        <v>0</v>
      </c>
      <c r="J21" s="9">
        <f t="shared" si="0"/>
        <v>1</v>
      </c>
      <c r="K21" s="9">
        <f t="shared" si="1"/>
        <v>0</v>
      </c>
      <c r="L21" s="9">
        <f t="shared" si="2"/>
        <v>1</v>
      </c>
      <c r="M21" s="9">
        <f t="shared" si="3"/>
        <v>0</v>
      </c>
      <c r="N21" s="9">
        <f t="shared" si="4"/>
        <v>0</v>
      </c>
      <c r="O21" s="9">
        <f t="shared" si="5"/>
        <v>1</v>
      </c>
      <c r="P21" s="9">
        <f t="shared" si="6"/>
        <v>0</v>
      </c>
      <c r="Q21" s="16">
        <f t="shared" si="7"/>
        <v>0</v>
      </c>
      <c r="R21" s="16">
        <f t="shared" si="8"/>
        <v>0</v>
      </c>
      <c r="S21" s="16">
        <f t="shared" si="9"/>
        <v>0</v>
      </c>
      <c r="T21" s="16">
        <f t="shared" si="10"/>
        <v>0</v>
      </c>
      <c r="U21" s="16">
        <f t="shared" si="11"/>
        <v>98</v>
      </c>
      <c r="V21" s="16">
        <f t="shared" si="12"/>
        <v>0</v>
      </c>
      <c r="W21" s="16">
        <f t="shared" si="13"/>
        <v>0</v>
      </c>
      <c r="X21" s="16">
        <f t="shared" si="14"/>
        <v>0</v>
      </c>
      <c r="Y21" s="11"/>
      <c r="Z21" s="11"/>
      <c r="AA21" s="11"/>
      <c r="AB21" s="11"/>
      <c r="AC21" s="11"/>
      <c r="AD21" s="11"/>
      <c r="AE21" s="11"/>
      <c r="AF21" s="11"/>
    </row>
    <row r="22" spans="1:32" ht="15.75" x14ac:dyDescent="0.25">
      <c r="A22" s="20" t="s">
        <v>10</v>
      </c>
      <c r="B22" s="6">
        <v>21</v>
      </c>
      <c r="C22" s="6">
        <v>0</v>
      </c>
      <c r="D22" s="6">
        <v>0</v>
      </c>
      <c r="E22" s="6">
        <v>1</v>
      </c>
      <c r="F22" s="6">
        <v>0</v>
      </c>
      <c r="G22" s="3">
        <v>88</v>
      </c>
      <c r="H22" s="7">
        <v>0</v>
      </c>
      <c r="I22" s="7">
        <v>0</v>
      </c>
      <c r="J22" s="9">
        <f t="shared" si="0"/>
        <v>0</v>
      </c>
      <c r="K22" s="9">
        <f t="shared" si="1"/>
        <v>0</v>
      </c>
      <c r="L22" s="9">
        <f t="shared" si="2"/>
        <v>0</v>
      </c>
      <c r="M22" s="9">
        <f t="shared" si="3"/>
        <v>0</v>
      </c>
      <c r="N22" s="9">
        <f t="shared" si="4"/>
        <v>0</v>
      </c>
      <c r="O22" s="9">
        <f t="shared" si="5"/>
        <v>0</v>
      </c>
      <c r="P22" s="9">
        <f t="shared" si="6"/>
        <v>0</v>
      </c>
      <c r="Q22" s="16">
        <f t="shared" si="7"/>
        <v>0</v>
      </c>
      <c r="R22" s="16">
        <f t="shared" si="8"/>
        <v>0</v>
      </c>
      <c r="S22" s="16">
        <f t="shared" si="9"/>
        <v>0</v>
      </c>
      <c r="T22" s="16">
        <f t="shared" si="10"/>
        <v>0</v>
      </c>
      <c r="U22" s="16">
        <f t="shared" si="11"/>
        <v>0</v>
      </c>
      <c r="V22" s="16">
        <f t="shared" si="12"/>
        <v>0</v>
      </c>
      <c r="W22" s="16">
        <f t="shared" si="13"/>
        <v>0</v>
      </c>
      <c r="X22" s="16">
        <f t="shared" si="14"/>
        <v>0</v>
      </c>
      <c r="Y22" s="11"/>
      <c r="Z22" s="11"/>
      <c r="AA22" s="11"/>
      <c r="AB22" s="11"/>
      <c r="AC22" s="11"/>
      <c r="AD22" s="11"/>
      <c r="AE22" s="11"/>
      <c r="AF22" s="11"/>
    </row>
    <row r="23" spans="1:32" ht="15.75" x14ac:dyDescent="0.25">
      <c r="A23" s="20" t="s">
        <v>2</v>
      </c>
      <c r="B23" s="6">
        <v>22</v>
      </c>
      <c r="C23" s="6">
        <v>0</v>
      </c>
      <c r="D23" s="6">
        <v>0</v>
      </c>
      <c r="E23" s="6">
        <v>1</v>
      </c>
      <c r="F23" s="6">
        <v>0</v>
      </c>
      <c r="G23" s="3">
        <v>111</v>
      </c>
      <c r="H23" s="7">
        <v>0</v>
      </c>
      <c r="I23" s="7">
        <v>1</v>
      </c>
      <c r="J23" s="9">
        <f t="shared" si="0"/>
        <v>1</v>
      </c>
      <c r="K23" s="9">
        <f t="shared" si="1"/>
        <v>0</v>
      </c>
      <c r="L23" s="9">
        <f t="shared" si="2"/>
        <v>1</v>
      </c>
      <c r="M23" s="9">
        <f t="shared" si="3"/>
        <v>0</v>
      </c>
      <c r="N23" s="9">
        <f t="shared" si="4"/>
        <v>0</v>
      </c>
      <c r="O23" s="9">
        <f t="shared" si="5"/>
        <v>0</v>
      </c>
      <c r="P23" s="9">
        <f t="shared" si="6"/>
        <v>0</v>
      </c>
      <c r="Q23" s="16">
        <f t="shared" si="7"/>
        <v>0</v>
      </c>
      <c r="R23" s="16">
        <f t="shared" si="8"/>
        <v>0</v>
      </c>
      <c r="S23" s="16">
        <f t="shared" si="9"/>
        <v>0</v>
      </c>
      <c r="T23" s="16">
        <f t="shared" si="10"/>
        <v>0</v>
      </c>
      <c r="U23" s="16">
        <f t="shared" si="11"/>
        <v>0</v>
      </c>
      <c r="V23" s="16">
        <f t="shared" si="12"/>
        <v>111</v>
      </c>
      <c r="W23" s="16">
        <f t="shared" si="13"/>
        <v>0</v>
      </c>
      <c r="X23" s="16">
        <f t="shared" si="14"/>
        <v>0</v>
      </c>
      <c r="Y23" s="11"/>
      <c r="Z23" s="11"/>
      <c r="AA23" s="11"/>
      <c r="AB23" s="11"/>
      <c r="AC23" s="11"/>
      <c r="AD23" s="11"/>
      <c r="AE23" s="11"/>
      <c r="AF23" s="11"/>
    </row>
    <row r="24" spans="1:32" ht="15.75" x14ac:dyDescent="0.25">
      <c r="A24" s="20" t="s">
        <v>19</v>
      </c>
      <c r="B24" s="6">
        <v>23</v>
      </c>
      <c r="C24" s="6">
        <v>0</v>
      </c>
      <c r="D24" s="6">
        <v>0</v>
      </c>
      <c r="E24" s="6">
        <v>1</v>
      </c>
      <c r="F24" s="6">
        <v>0</v>
      </c>
      <c r="G24" s="3">
        <v>84</v>
      </c>
      <c r="H24" s="7">
        <v>0</v>
      </c>
      <c r="I24" s="7">
        <v>0</v>
      </c>
      <c r="J24" s="9">
        <f t="shared" si="0"/>
        <v>0</v>
      </c>
      <c r="K24" s="9">
        <f t="shared" si="1"/>
        <v>0</v>
      </c>
      <c r="L24" s="9">
        <f t="shared" si="2"/>
        <v>0</v>
      </c>
      <c r="M24" s="9">
        <f t="shared" si="3"/>
        <v>0</v>
      </c>
      <c r="N24" s="9">
        <f t="shared" si="4"/>
        <v>0</v>
      </c>
      <c r="O24" s="9">
        <f t="shared" si="5"/>
        <v>0</v>
      </c>
      <c r="P24" s="9">
        <f t="shared" si="6"/>
        <v>0</v>
      </c>
      <c r="Q24" s="16">
        <f t="shared" si="7"/>
        <v>0</v>
      </c>
      <c r="R24" s="16">
        <f t="shared" si="8"/>
        <v>0</v>
      </c>
      <c r="S24" s="16">
        <f t="shared" si="9"/>
        <v>0</v>
      </c>
      <c r="T24" s="16">
        <f t="shared" si="10"/>
        <v>0</v>
      </c>
      <c r="U24" s="16">
        <f t="shared" si="11"/>
        <v>0</v>
      </c>
      <c r="V24" s="16">
        <f t="shared" si="12"/>
        <v>0</v>
      </c>
      <c r="W24" s="16">
        <f t="shared" si="13"/>
        <v>0</v>
      </c>
      <c r="X24" s="16">
        <f t="shared" si="14"/>
        <v>0</v>
      </c>
      <c r="Y24" s="11"/>
      <c r="Z24" s="11"/>
      <c r="AA24" s="11"/>
      <c r="AB24" s="11"/>
      <c r="AC24" s="11"/>
      <c r="AD24" s="11"/>
      <c r="AE24" s="11"/>
      <c r="AF24" s="11"/>
    </row>
    <row r="25" spans="1:32" ht="15.75" x14ac:dyDescent="0.25">
      <c r="A25" s="21" t="s">
        <v>5</v>
      </c>
      <c r="B25" s="6">
        <v>24</v>
      </c>
      <c r="C25" s="6">
        <v>0</v>
      </c>
      <c r="D25" s="6">
        <v>0</v>
      </c>
      <c r="E25" s="6">
        <v>0</v>
      </c>
      <c r="F25" s="6">
        <v>1</v>
      </c>
      <c r="G25" s="3">
        <v>116</v>
      </c>
      <c r="H25" s="7">
        <v>1</v>
      </c>
      <c r="I25" s="7">
        <v>0</v>
      </c>
      <c r="J25" s="9">
        <f t="shared" si="0"/>
        <v>1</v>
      </c>
      <c r="K25" s="9">
        <f t="shared" si="1"/>
        <v>0</v>
      </c>
      <c r="L25" s="9">
        <f t="shared" si="2"/>
        <v>1</v>
      </c>
      <c r="M25" s="9">
        <f t="shared" si="3"/>
        <v>0</v>
      </c>
      <c r="N25" s="9">
        <f t="shared" si="4"/>
        <v>0</v>
      </c>
      <c r="O25" s="9">
        <f t="shared" si="5"/>
        <v>0</v>
      </c>
      <c r="P25" s="9">
        <f t="shared" si="6"/>
        <v>1</v>
      </c>
      <c r="Q25" s="14">
        <f t="shared" si="7"/>
        <v>0</v>
      </c>
      <c r="R25" s="14">
        <f t="shared" si="8"/>
        <v>0</v>
      </c>
      <c r="S25" s="14">
        <f t="shared" si="9"/>
        <v>0</v>
      </c>
      <c r="T25" s="14">
        <f t="shared" si="10"/>
        <v>0</v>
      </c>
      <c r="U25" s="14">
        <f t="shared" si="11"/>
        <v>0</v>
      </c>
      <c r="V25" s="14">
        <f t="shared" si="12"/>
        <v>0</v>
      </c>
      <c r="W25" s="14">
        <f t="shared" si="13"/>
        <v>116</v>
      </c>
      <c r="X25" s="14">
        <f t="shared" si="14"/>
        <v>0</v>
      </c>
      <c r="Y25" s="11"/>
      <c r="Z25" s="11"/>
      <c r="AA25" s="11"/>
      <c r="AB25" s="11"/>
      <c r="AC25" s="11"/>
      <c r="AD25" s="11"/>
      <c r="AE25" s="11"/>
      <c r="AF25" s="11"/>
    </row>
    <row r="26" spans="1:32" ht="15.75" x14ac:dyDescent="0.25">
      <c r="A26" s="21" t="s">
        <v>18</v>
      </c>
      <c r="B26" s="6">
        <v>25</v>
      </c>
      <c r="C26" s="6">
        <v>0</v>
      </c>
      <c r="D26" s="6">
        <v>0</v>
      </c>
      <c r="E26" s="6">
        <v>0</v>
      </c>
      <c r="F26" s="6">
        <v>1</v>
      </c>
      <c r="G26" s="3">
        <v>89</v>
      </c>
      <c r="H26" s="7">
        <v>0</v>
      </c>
      <c r="I26" s="7">
        <v>0</v>
      </c>
      <c r="J26" s="9">
        <f t="shared" si="0"/>
        <v>0</v>
      </c>
      <c r="K26" s="9">
        <f t="shared" si="1"/>
        <v>0</v>
      </c>
      <c r="L26" s="9">
        <f t="shared" si="2"/>
        <v>0</v>
      </c>
      <c r="M26" s="9">
        <f t="shared" si="3"/>
        <v>0</v>
      </c>
      <c r="N26" s="9">
        <f t="shared" si="4"/>
        <v>0</v>
      </c>
      <c r="O26" s="9">
        <f t="shared" si="5"/>
        <v>0</v>
      </c>
      <c r="P26" s="9">
        <f t="shared" si="6"/>
        <v>0</v>
      </c>
      <c r="Q26" s="14">
        <f t="shared" si="7"/>
        <v>0</v>
      </c>
      <c r="R26" s="14">
        <f t="shared" si="8"/>
        <v>0</v>
      </c>
      <c r="S26" s="14">
        <f t="shared" si="9"/>
        <v>0</v>
      </c>
      <c r="T26" s="14">
        <f t="shared" si="10"/>
        <v>0</v>
      </c>
      <c r="U26" s="14">
        <f t="shared" si="11"/>
        <v>0</v>
      </c>
      <c r="V26" s="14">
        <f t="shared" si="12"/>
        <v>0</v>
      </c>
      <c r="W26" s="14">
        <f t="shared" si="13"/>
        <v>0</v>
      </c>
      <c r="X26" s="14">
        <f t="shared" si="14"/>
        <v>0</v>
      </c>
      <c r="Y26" s="11"/>
      <c r="Z26" s="11"/>
      <c r="AA26" s="11"/>
      <c r="AB26" s="11"/>
      <c r="AC26" s="11"/>
      <c r="AD26" s="11"/>
      <c r="AE26" s="11"/>
      <c r="AF26" s="11"/>
    </row>
    <row r="27" spans="1:32" ht="15.75" x14ac:dyDescent="0.25">
      <c r="A27" s="21" t="s">
        <v>20</v>
      </c>
      <c r="B27" s="6">
        <v>26</v>
      </c>
      <c r="C27" s="6">
        <v>0</v>
      </c>
      <c r="D27" s="6">
        <v>0</v>
      </c>
      <c r="E27" s="6">
        <v>0</v>
      </c>
      <c r="F27" s="6">
        <v>1</v>
      </c>
      <c r="G27" s="3">
        <v>77</v>
      </c>
      <c r="H27" s="7">
        <v>0</v>
      </c>
      <c r="I27" s="7">
        <v>0</v>
      </c>
      <c r="J27" s="9">
        <f t="shared" si="0"/>
        <v>0</v>
      </c>
      <c r="K27" s="9">
        <f t="shared" si="1"/>
        <v>0</v>
      </c>
      <c r="L27" s="9">
        <f t="shared" si="2"/>
        <v>0</v>
      </c>
      <c r="M27" s="9">
        <f t="shared" si="3"/>
        <v>0</v>
      </c>
      <c r="N27" s="9">
        <f t="shared" si="4"/>
        <v>0</v>
      </c>
      <c r="O27" s="9">
        <f t="shared" si="5"/>
        <v>0</v>
      </c>
      <c r="P27" s="9">
        <f t="shared" si="6"/>
        <v>0</v>
      </c>
      <c r="Q27" s="14">
        <f t="shared" si="7"/>
        <v>0</v>
      </c>
      <c r="R27" s="14">
        <f t="shared" si="8"/>
        <v>0</v>
      </c>
      <c r="S27" s="14">
        <f t="shared" si="9"/>
        <v>0</v>
      </c>
      <c r="T27" s="14">
        <f t="shared" si="10"/>
        <v>0</v>
      </c>
      <c r="U27" s="14">
        <f t="shared" si="11"/>
        <v>0</v>
      </c>
      <c r="V27" s="14">
        <f t="shared" si="12"/>
        <v>0</v>
      </c>
      <c r="W27" s="14">
        <f t="shared" si="13"/>
        <v>0</v>
      </c>
      <c r="X27" s="14">
        <f t="shared" si="14"/>
        <v>0</v>
      </c>
      <c r="Y27" s="11"/>
      <c r="Z27" s="11"/>
      <c r="AA27" s="11"/>
      <c r="AB27" s="11"/>
      <c r="AC27" s="11"/>
      <c r="AD27" s="11"/>
      <c r="AE27" s="11"/>
      <c r="AF27" s="11"/>
    </row>
    <row r="28" spans="1:32" ht="15.75" x14ac:dyDescent="0.25">
      <c r="A28" s="21" t="s">
        <v>23</v>
      </c>
      <c r="B28" s="6">
        <v>27</v>
      </c>
      <c r="C28" s="6">
        <v>0</v>
      </c>
      <c r="D28" s="6">
        <v>0</v>
      </c>
      <c r="E28" s="6">
        <v>0</v>
      </c>
      <c r="F28" s="6">
        <v>1</v>
      </c>
      <c r="G28" s="3">
        <v>67</v>
      </c>
      <c r="H28" s="7">
        <v>0</v>
      </c>
      <c r="I28" s="7">
        <v>0</v>
      </c>
      <c r="J28" s="9">
        <f t="shared" si="0"/>
        <v>0</v>
      </c>
      <c r="K28" s="9">
        <f t="shared" si="1"/>
        <v>0</v>
      </c>
      <c r="L28" s="9">
        <f t="shared" si="2"/>
        <v>0</v>
      </c>
      <c r="M28" s="9">
        <f t="shared" si="3"/>
        <v>0</v>
      </c>
      <c r="N28" s="9">
        <f t="shared" si="4"/>
        <v>0</v>
      </c>
      <c r="O28" s="9">
        <f t="shared" si="5"/>
        <v>0</v>
      </c>
      <c r="P28" s="9">
        <f t="shared" si="6"/>
        <v>0</v>
      </c>
      <c r="Q28" s="14">
        <f t="shared" si="7"/>
        <v>0</v>
      </c>
      <c r="R28" s="14">
        <f t="shared" si="8"/>
        <v>0</v>
      </c>
      <c r="S28" s="14">
        <f t="shared" si="9"/>
        <v>0</v>
      </c>
      <c r="T28" s="14">
        <f t="shared" si="10"/>
        <v>0</v>
      </c>
      <c r="U28" s="14">
        <f t="shared" si="11"/>
        <v>0</v>
      </c>
      <c r="V28" s="14">
        <f t="shared" si="12"/>
        <v>0</v>
      </c>
      <c r="W28" s="14">
        <f t="shared" si="13"/>
        <v>0</v>
      </c>
      <c r="X28" s="14">
        <f t="shared" si="14"/>
        <v>0</v>
      </c>
      <c r="Y28" s="11"/>
      <c r="Z28" s="11"/>
      <c r="AA28" s="11"/>
      <c r="AB28" s="11"/>
      <c r="AC28" s="11"/>
      <c r="AD28" s="11"/>
      <c r="AE28" s="11"/>
      <c r="AF28" s="11"/>
    </row>
    <row r="29" spans="1:32" ht="15.75" x14ac:dyDescent="0.25">
      <c r="A29" s="21" t="s">
        <v>38</v>
      </c>
      <c r="B29" s="6">
        <v>28</v>
      </c>
      <c r="C29" s="6">
        <v>0</v>
      </c>
      <c r="D29" s="6">
        <v>0</v>
      </c>
      <c r="E29" s="6">
        <v>0</v>
      </c>
      <c r="F29" s="6">
        <v>1</v>
      </c>
      <c r="G29" s="3">
        <v>100</v>
      </c>
      <c r="H29" s="7">
        <v>1</v>
      </c>
      <c r="I29" s="7">
        <v>0</v>
      </c>
      <c r="J29" s="9">
        <f t="shared" si="0"/>
        <v>1</v>
      </c>
      <c r="K29" s="9">
        <f t="shared" si="1"/>
        <v>0</v>
      </c>
      <c r="L29" s="9">
        <f t="shared" si="2"/>
        <v>1</v>
      </c>
      <c r="M29" s="9">
        <f t="shared" si="3"/>
        <v>0</v>
      </c>
      <c r="N29" s="9">
        <f t="shared" si="4"/>
        <v>0</v>
      </c>
      <c r="O29" s="9">
        <f t="shared" si="5"/>
        <v>0</v>
      </c>
      <c r="P29" s="9">
        <f t="shared" si="6"/>
        <v>1</v>
      </c>
      <c r="Q29" s="14">
        <f t="shared" si="7"/>
        <v>0</v>
      </c>
      <c r="R29" s="14">
        <f t="shared" si="8"/>
        <v>0</v>
      </c>
      <c r="S29" s="14">
        <f t="shared" si="9"/>
        <v>0</v>
      </c>
      <c r="T29" s="14">
        <f t="shared" si="10"/>
        <v>0</v>
      </c>
      <c r="U29" s="14">
        <f t="shared" si="11"/>
        <v>0</v>
      </c>
      <c r="V29" s="14">
        <f t="shared" si="12"/>
        <v>0</v>
      </c>
      <c r="W29" s="14">
        <f t="shared" si="13"/>
        <v>100</v>
      </c>
      <c r="X29" s="14">
        <f t="shared" si="14"/>
        <v>0</v>
      </c>
      <c r="Y29" s="11"/>
      <c r="Z29" s="11"/>
      <c r="AA29" s="11"/>
      <c r="AB29" s="11"/>
      <c r="AC29" s="11"/>
      <c r="AD29" s="11"/>
      <c r="AE29" s="11"/>
      <c r="AF29" s="11"/>
    </row>
    <row r="30" spans="1:32" ht="15.75" x14ac:dyDescent="0.25">
      <c r="A30" s="21" t="s">
        <v>6</v>
      </c>
      <c r="B30" s="6">
        <v>29</v>
      </c>
      <c r="C30" s="6">
        <v>0</v>
      </c>
      <c r="D30" s="6">
        <v>0</v>
      </c>
      <c r="E30" s="6">
        <v>0</v>
      </c>
      <c r="F30" s="6">
        <v>1</v>
      </c>
      <c r="G30" s="3">
        <v>111</v>
      </c>
      <c r="H30" s="7">
        <v>0</v>
      </c>
      <c r="I30" s="7">
        <v>1</v>
      </c>
      <c r="J30" s="9">
        <f t="shared" si="0"/>
        <v>1</v>
      </c>
      <c r="K30" s="9">
        <f t="shared" si="1"/>
        <v>0</v>
      </c>
      <c r="L30" s="9">
        <f t="shared" si="2"/>
        <v>1</v>
      </c>
      <c r="M30" s="9">
        <f t="shared" si="3"/>
        <v>0</v>
      </c>
      <c r="N30" s="9">
        <f t="shared" si="4"/>
        <v>0</v>
      </c>
      <c r="O30" s="9">
        <f t="shared" si="5"/>
        <v>0</v>
      </c>
      <c r="P30" s="9">
        <f t="shared" si="6"/>
        <v>0</v>
      </c>
      <c r="Q30" s="14">
        <f t="shared" si="7"/>
        <v>0</v>
      </c>
      <c r="R30" s="14">
        <f t="shared" si="8"/>
        <v>0</v>
      </c>
      <c r="S30" s="14">
        <f t="shared" si="9"/>
        <v>0</v>
      </c>
      <c r="T30" s="14">
        <f t="shared" si="10"/>
        <v>0</v>
      </c>
      <c r="U30" s="14">
        <f t="shared" si="11"/>
        <v>0</v>
      </c>
      <c r="V30" s="14">
        <f t="shared" si="12"/>
        <v>0</v>
      </c>
      <c r="W30" s="14">
        <f t="shared" si="13"/>
        <v>0</v>
      </c>
      <c r="X30" s="14">
        <f t="shared" si="14"/>
        <v>111</v>
      </c>
      <c r="Y30" s="11"/>
      <c r="Z30" s="11"/>
      <c r="AA30" s="11"/>
      <c r="AB30" s="11"/>
      <c r="AC30" s="11"/>
      <c r="AD30" s="11"/>
      <c r="AE30" s="11"/>
      <c r="AF30" s="11"/>
    </row>
    <row r="31" spans="1:32" ht="15.75" x14ac:dyDescent="0.25">
      <c r="A31" s="21" t="s">
        <v>22</v>
      </c>
      <c r="B31" s="6">
        <v>30</v>
      </c>
      <c r="C31" s="6">
        <v>0</v>
      </c>
      <c r="D31" s="6">
        <v>0</v>
      </c>
      <c r="E31" s="6">
        <v>0</v>
      </c>
      <c r="F31" s="6">
        <v>1</v>
      </c>
      <c r="G31" s="3">
        <v>83</v>
      </c>
      <c r="H31" s="7">
        <v>0</v>
      </c>
      <c r="I31" s="7">
        <v>0</v>
      </c>
      <c r="J31" s="9">
        <f t="shared" si="0"/>
        <v>0</v>
      </c>
      <c r="K31" s="9">
        <f t="shared" si="1"/>
        <v>0</v>
      </c>
      <c r="L31" s="9">
        <f t="shared" si="2"/>
        <v>0</v>
      </c>
      <c r="M31" s="9">
        <f t="shared" si="3"/>
        <v>0</v>
      </c>
      <c r="N31" s="9">
        <f t="shared" si="4"/>
        <v>0</v>
      </c>
      <c r="O31" s="9">
        <f t="shared" si="5"/>
        <v>0</v>
      </c>
      <c r="P31" s="9">
        <f t="shared" si="6"/>
        <v>0</v>
      </c>
      <c r="Q31" s="14">
        <f t="shared" si="7"/>
        <v>0</v>
      </c>
      <c r="R31" s="14">
        <f t="shared" si="8"/>
        <v>0</v>
      </c>
      <c r="S31" s="14">
        <f t="shared" si="9"/>
        <v>0</v>
      </c>
      <c r="T31" s="14">
        <f t="shared" si="10"/>
        <v>0</v>
      </c>
      <c r="U31" s="14">
        <f t="shared" si="11"/>
        <v>0</v>
      </c>
      <c r="V31" s="14">
        <f t="shared" si="12"/>
        <v>0</v>
      </c>
      <c r="W31" s="14">
        <f t="shared" si="13"/>
        <v>0</v>
      </c>
      <c r="X31" s="14">
        <f t="shared" si="14"/>
        <v>0</v>
      </c>
      <c r="Y31" s="11"/>
      <c r="Z31" s="11"/>
      <c r="AA31" s="11"/>
      <c r="AB31" s="11"/>
      <c r="AC31" s="11"/>
      <c r="AD31" s="11"/>
      <c r="AE31" s="11"/>
      <c r="AF31" s="11"/>
    </row>
    <row r="32" spans="1:32" ht="15.75" x14ac:dyDescent="0.25">
      <c r="A32" s="2"/>
      <c r="B32" s="2"/>
      <c r="C32" s="2"/>
      <c r="D32" s="2"/>
      <c r="E32" s="2"/>
      <c r="F32" s="1"/>
    </row>
    <row r="33" spans="1:22" ht="15.75" x14ac:dyDescent="0.25">
      <c r="A33" s="2" t="s">
        <v>45</v>
      </c>
      <c r="B33" s="2"/>
      <c r="C33" s="2"/>
      <c r="D33" s="2"/>
      <c r="E33" s="2"/>
      <c r="F33" s="1"/>
      <c r="H33">
        <f>SUM(H2:H31)</f>
        <v>10</v>
      </c>
      <c r="I33">
        <f>SUM(I2:I31)</f>
        <v>6</v>
      </c>
      <c r="K33">
        <f>SUM(K2:K31)</f>
        <v>8</v>
      </c>
      <c r="L33">
        <f>SUM(L2:L31)</f>
        <v>8</v>
      </c>
      <c r="N33" s="6"/>
      <c r="O33" t="s">
        <v>74</v>
      </c>
      <c r="U33" s="17"/>
      <c r="V33" t="s">
        <v>60</v>
      </c>
    </row>
    <row r="34" spans="1:22" ht="15.75" x14ac:dyDescent="0.25">
      <c r="A34" s="2"/>
      <c r="B34" s="2"/>
      <c r="C34" s="2"/>
      <c r="D34" s="2"/>
      <c r="E34" s="2"/>
      <c r="F34" s="1"/>
      <c r="N34" s="9"/>
      <c r="O34" t="s">
        <v>75</v>
      </c>
      <c r="U34" s="15"/>
      <c r="V34" t="s">
        <v>59</v>
      </c>
    </row>
    <row r="35" spans="1:22" ht="15.75" x14ac:dyDescent="0.25">
      <c r="A35" s="2" t="s">
        <v>36</v>
      </c>
      <c r="B35" s="2"/>
      <c r="C35" s="2"/>
      <c r="D35" s="2"/>
      <c r="E35" s="2"/>
      <c r="F35" s="1"/>
      <c r="N35" s="7"/>
      <c r="O35" t="s">
        <v>76</v>
      </c>
      <c r="U35" s="12"/>
      <c r="V35" t="s">
        <v>61</v>
      </c>
    </row>
    <row r="36" spans="1:22" ht="15.75" x14ac:dyDescent="0.25">
      <c r="A36" s="1" t="s">
        <v>35</v>
      </c>
      <c r="B36">
        <f>SUMPRODUCT(G2:G31,H2:H31)</f>
        <v>1018</v>
      </c>
      <c r="N36" s="3"/>
      <c r="O36" t="s">
        <v>77</v>
      </c>
      <c r="U36" s="14"/>
      <c r="V36" t="s">
        <v>62</v>
      </c>
    </row>
    <row r="37" spans="1:22" ht="15.75" x14ac:dyDescent="0.25">
      <c r="A37" s="1" t="s">
        <v>34</v>
      </c>
      <c r="B37">
        <f>SUMPRODUCT(G2:G31,I2:I31)</f>
        <v>631</v>
      </c>
    </row>
    <row r="39" spans="1:22" ht="15.75" x14ac:dyDescent="0.25">
      <c r="A39" s="1" t="s">
        <v>33</v>
      </c>
      <c r="B39">
        <f>B36+B37</f>
        <v>1649</v>
      </c>
    </row>
    <row r="41" spans="1:22" ht="15.75" x14ac:dyDescent="0.25">
      <c r="A41" s="1" t="s">
        <v>47</v>
      </c>
    </row>
    <row r="42" spans="1:22" x14ac:dyDescent="0.25">
      <c r="B42">
        <f>SUM(H2:H31) +SUM(I2:I31)</f>
        <v>16</v>
      </c>
      <c r="C42" t="s">
        <v>48</v>
      </c>
      <c r="D42">
        <v>16</v>
      </c>
    </row>
    <row r="43" spans="1:22" x14ac:dyDescent="0.25">
      <c r="C43" t="s">
        <v>49</v>
      </c>
      <c r="D43">
        <v>1</v>
      </c>
    </row>
    <row r="44" spans="1:22" x14ac:dyDescent="0.25">
      <c r="B44">
        <f>SUM(K2:K31)</f>
        <v>8</v>
      </c>
      <c r="C44" t="s">
        <v>49</v>
      </c>
      <c r="D44">
        <v>8</v>
      </c>
    </row>
    <row r="45" spans="1:22" x14ac:dyDescent="0.25">
      <c r="B45">
        <f>SUM(L2:L31)</f>
        <v>8</v>
      </c>
      <c r="C45" t="s">
        <v>49</v>
      </c>
      <c r="D45">
        <v>8</v>
      </c>
    </row>
    <row r="47" spans="1:22" x14ac:dyDescent="0.25">
      <c r="A47" t="s">
        <v>54</v>
      </c>
      <c r="B47">
        <f>SUM(M2:M31)</f>
        <v>3</v>
      </c>
      <c r="C47" t="s">
        <v>48</v>
      </c>
      <c r="D47">
        <f>SUM(N2:N31)</f>
        <v>3</v>
      </c>
    </row>
    <row r="48" spans="1:22" x14ac:dyDescent="0.25">
      <c r="A48" t="s">
        <v>55</v>
      </c>
      <c r="B48">
        <f>SUM(O2:O31)</f>
        <v>2</v>
      </c>
      <c r="C48" t="s">
        <v>48</v>
      </c>
      <c r="D48">
        <f>SUM(P2:P31)</f>
        <v>2</v>
      </c>
    </row>
    <row r="50" spans="1:4" x14ac:dyDescent="0.25">
      <c r="A50" t="s">
        <v>57</v>
      </c>
      <c r="B50">
        <f>B47</f>
        <v>3</v>
      </c>
      <c r="C50" t="s">
        <v>56</v>
      </c>
      <c r="D50">
        <f>B48</f>
        <v>2</v>
      </c>
    </row>
    <row r="51" spans="1:4" x14ac:dyDescent="0.25">
      <c r="B51" t="s">
        <v>58</v>
      </c>
    </row>
  </sheetData>
  <autoFilter ref="A1:X31">
    <sortState ref="A2:X31">
      <sortCondition ref="B1:B31"/>
    </sortState>
  </autoFilter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51"/>
  <sheetViews>
    <sheetView topLeftCell="A31" workbookViewId="0">
      <selection activeCell="I10" sqref="I10"/>
    </sheetView>
  </sheetViews>
  <sheetFormatPr defaultRowHeight="15" x14ac:dyDescent="0.25"/>
  <cols>
    <col min="1" max="1" width="21" bestFit="1" customWidth="1"/>
    <col min="25" max="25" width="7.28515625" customWidth="1"/>
    <col min="26" max="26" width="6.7109375" customWidth="1"/>
    <col min="27" max="27" width="6.5703125" customWidth="1"/>
  </cols>
  <sheetData>
    <row r="1" spans="1:32" ht="47.25" x14ac:dyDescent="0.25">
      <c r="A1" s="4" t="s">
        <v>25</v>
      </c>
      <c r="B1" s="4" t="s">
        <v>37</v>
      </c>
      <c r="C1" s="4" t="s">
        <v>28</v>
      </c>
      <c r="D1" s="4" t="s">
        <v>29</v>
      </c>
      <c r="E1" s="4" t="s">
        <v>30</v>
      </c>
      <c r="F1" s="4" t="s">
        <v>31</v>
      </c>
      <c r="G1" s="5" t="s">
        <v>32</v>
      </c>
      <c r="H1" s="5" t="s">
        <v>26</v>
      </c>
      <c r="I1" s="5" t="s">
        <v>27</v>
      </c>
      <c r="J1" s="13" t="s">
        <v>46</v>
      </c>
      <c r="K1" s="13" t="s">
        <v>43</v>
      </c>
      <c r="L1" s="13" t="s">
        <v>44</v>
      </c>
      <c r="M1" s="8" t="s">
        <v>51</v>
      </c>
      <c r="N1" s="8" t="s">
        <v>50</v>
      </c>
      <c r="O1" s="8" t="s">
        <v>52</v>
      </c>
      <c r="P1" s="8" t="s">
        <v>53</v>
      </c>
      <c r="Q1" s="8" t="s">
        <v>66</v>
      </c>
      <c r="R1" s="8" t="s">
        <v>67</v>
      </c>
      <c r="S1" s="8" t="s">
        <v>68</v>
      </c>
      <c r="T1" s="8" t="s">
        <v>69</v>
      </c>
      <c r="U1" s="8" t="s">
        <v>70</v>
      </c>
      <c r="V1" s="8" t="s">
        <v>71</v>
      </c>
      <c r="W1" s="8" t="s">
        <v>72</v>
      </c>
      <c r="X1" s="8" t="s">
        <v>73</v>
      </c>
      <c r="Y1" s="8"/>
      <c r="Z1" s="8"/>
      <c r="AA1" s="8"/>
      <c r="AB1" s="8"/>
    </row>
    <row r="2" spans="1:32" ht="15.75" x14ac:dyDescent="0.25">
      <c r="A2" s="18" t="s">
        <v>16</v>
      </c>
      <c r="B2" s="6">
        <v>1</v>
      </c>
      <c r="C2" s="6">
        <v>1</v>
      </c>
      <c r="D2" s="6">
        <v>0</v>
      </c>
      <c r="E2" s="6">
        <v>0</v>
      </c>
      <c r="F2" s="6">
        <v>0</v>
      </c>
      <c r="G2" s="3">
        <v>71</v>
      </c>
      <c r="H2" s="7">
        <v>0</v>
      </c>
      <c r="I2" s="7">
        <v>0</v>
      </c>
      <c r="J2" s="9">
        <f t="shared" ref="J2:J31" si="0">H2+I2</f>
        <v>0</v>
      </c>
      <c r="K2" s="9">
        <f t="shared" ref="K2:K31" si="1">(C2+D2)*(H2+I2)</f>
        <v>0</v>
      </c>
      <c r="L2" s="9">
        <f t="shared" ref="L2:L31" si="2">(E2+F2)*(H2+I2)</f>
        <v>0</v>
      </c>
      <c r="M2" s="9">
        <f t="shared" ref="M2:M31" si="3">C2*H2</f>
        <v>0</v>
      </c>
      <c r="N2" s="9">
        <f t="shared" ref="N2:N31" si="4">D2*H2</f>
        <v>0</v>
      </c>
      <c r="O2" s="9">
        <f t="shared" ref="O2:O31" si="5">E2*H2</f>
        <v>0</v>
      </c>
      <c r="P2" s="9">
        <f t="shared" ref="P2:P31" si="6">F2*H2</f>
        <v>0</v>
      </c>
      <c r="Q2" s="17">
        <f t="shared" ref="Q2:Q31" si="7">H2*G2*C2</f>
        <v>0</v>
      </c>
      <c r="R2" s="17">
        <f t="shared" ref="R2:R31" si="8">I2*G2*C2</f>
        <v>0</v>
      </c>
      <c r="S2" s="17">
        <f t="shared" ref="S2:S31" si="9">H2*G2*D2</f>
        <v>0</v>
      </c>
      <c r="T2" s="17">
        <f t="shared" ref="T2:T31" si="10">I2*G2*D2</f>
        <v>0</v>
      </c>
      <c r="U2" s="17">
        <f t="shared" ref="U2:U31" si="11">H2*G2*E2</f>
        <v>0</v>
      </c>
      <c r="V2" s="17">
        <f t="shared" ref="V2:V31" si="12">I2*G2*E2</f>
        <v>0</v>
      </c>
      <c r="W2" s="17">
        <f t="shared" ref="W2:W31" si="13">H2*G2*F2</f>
        <v>0</v>
      </c>
      <c r="X2" s="17">
        <f t="shared" ref="X2:X31" si="14">I2*G2*F2</f>
        <v>0</v>
      </c>
      <c r="Y2" s="11"/>
      <c r="Z2" s="11"/>
      <c r="AA2" s="11"/>
      <c r="AB2" s="11"/>
      <c r="AC2" s="11"/>
      <c r="AD2" s="11"/>
      <c r="AE2" s="11"/>
      <c r="AF2" s="11"/>
    </row>
    <row r="3" spans="1:32" ht="14.25" customHeight="1" x14ac:dyDescent="0.25">
      <c r="A3" s="18" t="s">
        <v>21</v>
      </c>
      <c r="B3" s="6">
        <v>2</v>
      </c>
      <c r="C3" s="6">
        <v>1</v>
      </c>
      <c r="D3" s="6">
        <v>0</v>
      </c>
      <c r="E3" s="6">
        <v>0</v>
      </c>
      <c r="F3" s="6">
        <v>0</v>
      </c>
      <c r="G3" s="3">
        <v>89</v>
      </c>
      <c r="H3" s="7">
        <v>0</v>
      </c>
      <c r="I3" s="7">
        <v>0</v>
      </c>
      <c r="J3" s="9">
        <f t="shared" si="0"/>
        <v>0</v>
      </c>
      <c r="K3" s="9">
        <f t="shared" si="1"/>
        <v>0</v>
      </c>
      <c r="L3" s="9">
        <f t="shared" si="2"/>
        <v>0</v>
      </c>
      <c r="M3" s="9">
        <f t="shared" si="3"/>
        <v>0</v>
      </c>
      <c r="N3" s="9">
        <f t="shared" si="4"/>
        <v>0</v>
      </c>
      <c r="O3" s="9">
        <f t="shared" si="5"/>
        <v>0</v>
      </c>
      <c r="P3" s="9">
        <f t="shared" si="6"/>
        <v>0</v>
      </c>
      <c r="Q3" s="17">
        <f t="shared" si="7"/>
        <v>0</v>
      </c>
      <c r="R3" s="17">
        <f t="shared" si="8"/>
        <v>0</v>
      </c>
      <c r="S3" s="17">
        <f t="shared" si="9"/>
        <v>0</v>
      </c>
      <c r="T3" s="17">
        <f t="shared" si="10"/>
        <v>0</v>
      </c>
      <c r="U3" s="17">
        <f t="shared" si="11"/>
        <v>0</v>
      </c>
      <c r="V3" s="17">
        <f t="shared" si="12"/>
        <v>0</v>
      </c>
      <c r="W3" s="17">
        <f t="shared" si="13"/>
        <v>0</v>
      </c>
      <c r="X3" s="17">
        <f t="shared" si="14"/>
        <v>0</v>
      </c>
      <c r="Y3" s="11"/>
      <c r="Z3" s="11"/>
      <c r="AA3" s="11"/>
      <c r="AB3" s="11"/>
      <c r="AC3" s="11"/>
      <c r="AD3" s="11"/>
      <c r="AE3" s="11"/>
      <c r="AF3" s="11"/>
    </row>
    <row r="4" spans="1:32" ht="15.75" x14ac:dyDescent="0.25">
      <c r="A4" s="18" t="s">
        <v>39</v>
      </c>
      <c r="B4" s="6">
        <v>3</v>
      </c>
      <c r="C4" s="6">
        <v>1</v>
      </c>
      <c r="D4" s="6">
        <v>0</v>
      </c>
      <c r="E4" s="6">
        <v>0</v>
      </c>
      <c r="F4" s="6">
        <v>0</v>
      </c>
      <c r="G4" s="3">
        <v>78</v>
      </c>
      <c r="H4" s="7">
        <v>0</v>
      </c>
      <c r="I4" s="7">
        <v>0</v>
      </c>
      <c r="J4" s="9">
        <f t="shared" si="0"/>
        <v>0</v>
      </c>
      <c r="K4" s="9">
        <f t="shared" si="1"/>
        <v>0</v>
      </c>
      <c r="L4" s="9">
        <f t="shared" si="2"/>
        <v>0</v>
      </c>
      <c r="M4" s="9">
        <f t="shared" si="3"/>
        <v>0</v>
      </c>
      <c r="N4" s="9">
        <f t="shared" si="4"/>
        <v>0</v>
      </c>
      <c r="O4" s="9">
        <f t="shared" si="5"/>
        <v>0</v>
      </c>
      <c r="P4" s="9">
        <f t="shared" si="6"/>
        <v>0</v>
      </c>
      <c r="Q4" s="17">
        <f t="shared" si="7"/>
        <v>0</v>
      </c>
      <c r="R4" s="17">
        <f t="shared" si="8"/>
        <v>0</v>
      </c>
      <c r="S4" s="17">
        <f t="shared" si="9"/>
        <v>0</v>
      </c>
      <c r="T4" s="17">
        <f t="shared" si="10"/>
        <v>0</v>
      </c>
      <c r="U4" s="17">
        <f t="shared" si="11"/>
        <v>0</v>
      </c>
      <c r="V4" s="17">
        <f t="shared" si="12"/>
        <v>0</v>
      </c>
      <c r="W4" s="17">
        <f t="shared" si="13"/>
        <v>0</v>
      </c>
      <c r="X4" s="17">
        <f t="shared" si="14"/>
        <v>0</v>
      </c>
      <c r="Y4" s="11"/>
      <c r="Z4" s="11"/>
      <c r="AA4" s="11"/>
      <c r="AB4" s="11"/>
      <c r="AC4" s="11"/>
      <c r="AD4" s="11"/>
      <c r="AE4" s="11"/>
      <c r="AF4" s="11"/>
    </row>
    <row r="5" spans="1:32" ht="15.75" x14ac:dyDescent="0.25">
      <c r="A5" s="18" t="s">
        <v>40</v>
      </c>
      <c r="B5" s="6">
        <v>4</v>
      </c>
      <c r="C5" s="6">
        <v>1</v>
      </c>
      <c r="D5" s="6">
        <v>0</v>
      </c>
      <c r="E5" s="6">
        <v>0</v>
      </c>
      <c r="F5" s="6">
        <v>0</v>
      </c>
      <c r="G5" s="3">
        <v>101</v>
      </c>
      <c r="H5" s="7">
        <v>1</v>
      </c>
      <c r="I5" s="7">
        <v>0</v>
      </c>
      <c r="J5" s="9">
        <f t="shared" si="0"/>
        <v>1</v>
      </c>
      <c r="K5" s="9">
        <f t="shared" si="1"/>
        <v>1</v>
      </c>
      <c r="L5" s="9">
        <f t="shared" si="2"/>
        <v>0</v>
      </c>
      <c r="M5" s="9">
        <f t="shared" si="3"/>
        <v>1</v>
      </c>
      <c r="N5" s="9">
        <f t="shared" si="4"/>
        <v>0</v>
      </c>
      <c r="O5" s="9">
        <f t="shared" si="5"/>
        <v>0</v>
      </c>
      <c r="P5" s="9">
        <f t="shared" si="6"/>
        <v>0</v>
      </c>
      <c r="Q5" s="17">
        <f t="shared" si="7"/>
        <v>101</v>
      </c>
      <c r="R5" s="17">
        <f t="shared" si="8"/>
        <v>0</v>
      </c>
      <c r="S5" s="17">
        <f t="shared" si="9"/>
        <v>0</v>
      </c>
      <c r="T5" s="17">
        <f t="shared" si="10"/>
        <v>0</v>
      </c>
      <c r="U5" s="17">
        <f t="shared" si="11"/>
        <v>0</v>
      </c>
      <c r="V5" s="17">
        <f t="shared" si="12"/>
        <v>0</v>
      </c>
      <c r="W5" s="17">
        <f t="shared" si="13"/>
        <v>0</v>
      </c>
      <c r="X5" s="17">
        <f t="shared" si="14"/>
        <v>0</v>
      </c>
      <c r="Y5" s="11"/>
      <c r="Z5" s="11"/>
      <c r="AA5" s="11"/>
      <c r="AB5" s="11"/>
      <c r="AC5" s="11"/>
      <c r="AD5" s="11"/>
      <c r="AE5" s="11"/>
      <c r="AF5" s="11"/>
    </row>
    <row r="6" spans="1:32" ht="15.75" x14ac:dyDescent="0.25">
      <c r="A6" s="18" t="s">
        <v>41</v>
      </c>
      <c r="B6" s="6">
        <v>5</v>
      </c>
      <c r="C6" s="6">
        <v>1</v>
      </c>
      <c r="D6" s="6">
        <v>0</v>
      </c>
      <c r="E6" s="6">
        <v>0</v>
      </c>
      <c r="F6" s="6">
        <v>0</v>
      </c>
      <c r="G6" s="3">
        <v>113</v>
      </c>
      <c r="H6" s="7">
        <v>1</v>
      </c>
      <c r="I6" s="7">
        <v>0</v>
      </c>
      <c r="J6" s="9">
        <f t="shared" si="0"/>
        <v>1</v>
      </c>
      <c r="K6" s="9">
        <f t="shared" si="1"/>
        <v>1</v>
      </c>
      <c r="L6" s="9">
        <f t="shared" si="2"/>
        <v>0</v>
      </c>
      <c r="M6" s="9">
        <f t="shared" si="3"/>
        <v>1</v>
      </c>
      <c r="N6" s="9">
        <f t="shared" si="4"/>
        <v>0</v>
      </c>
      <c r="O6" s="9">
        <f t="shared" si="5"/>
        <v>0</v>
      </c>
      <c r="P6" s="9">
        <f t="shared" si="6"/>
        <v>0</v>
      </c>
      <c r="Q6" s="17">
        <f t="shared" si="7"/>
        <v>113</v>
      </c>
      <c r="R6" s="17">
        <f t="shared" si="8"/>
        <v>0</v>
      </c>
      <c r="S6" s="17">
        <f t="shared" si="9"/>
        <v>0</v>
      </c>
      <c r="T6" s="17">
        <f t="shared" si="10"/>
        <v>0</v>
      </c>
      <c r="U6" s="17">
        <f t="shared" si="11"/>
        <v>0</v>
      </c>
      <c r="V6" s="17">
        <f t="shared" si="12"/>
        <v>0</v>
      </c>
      <c r="W6" s="17">
        <f t="shared" si="13"/>
        <v>0</v>
      </c>
      <c r="X6" s="17">
        <f t="shared" si="14"/>
        <v>0</v>
      </c>
      <c r="Y6" s="11"/>
      <c r="Z6" s="11"/>
      <c r="AA6" s="11"/>
      <c r="AB6" s="11"/>
      <c r="AC6" s="11"/>
      <c r="AD6" s="11"/>
      <c r="AE6" s="11"/>
      <c r="AF6" s="11"/>
    </row>
    <row r="7" spans="1:32" ht="15.75" x14ac:dyDescent="0.25">
      <c r="A7" s="18" t="s">
        <v>9</v>
      </c>
      <c r="B7" s="6">
        <v>6</v>
      </c>
      <c r="C7" s="6">
        <v>1</v>
      </c>
      <c r="D7" s="6">
        <v>0</v>
      </c>
      <c r="E7" s="6">
        <v>0</v>
      </c>
      <c r="F7" s="6">
        <v>0</v>
      </c>
      <c r="G7" s="3">
        <v>84</v>
      </c>
      <c r="H7" s="7">
        <v>0</v>
      </c>
      <c r="I7" s="7">
        <v>0</v>
      </c>
      <c r="J7" s="9">
        <f t="shared" si="0"/>
        <v>0</v>
      </c>
      <c r="K7" s="9">
        <f t="shared" si="1"/>
        <v>0</v>
      </c>
      <c r="L7" s="9">
        <f t="shared" si="2"/>
        <v>0</v>
      </c>
      <c r="M7" s="9">
        <f t="shared" si="3"/>
        <v>0</v>
      </c>
      <c r="N7" s="9">
        <f t="shared" si="4"/>
        <v>0</v>
      </c>
      <c r="O7" s="9">
        <f t="shared" si="5"/>
        <v>0</v>
      </c>
      <c r="P7" s="9">
        <f t="shared" si="6"/>
        <v>0</v>
      </c>
      <c r="Q7" s="17">
        <f t="shared" si="7"/>
        <v>0</v>
      </c>
      <c r="R7" s="17">
        <f t="shared" si="8"/>
        <v>0</v>
      </c>
      <c r="S7" s="17">
        <f t="shared" si="9"/>
        <v>0</v>
      </c>
      <c r="T7" s="17">
        <f t="shared" si="10"/>
        <v>0</v>
      </c>
      <c r="U7" s="17">
        <f t="shared" si="11"/>
        <v>0</v>
      </c>
      <c r="V7" s="17">
        <f t="shared" si="12"/>
        <v>0</v>
      </c>
      <c r="W7" s="17">
        <f t="shared" si="13"/>
        <v>0</v>
      </c>
      <c r="X7" s="17">
        <f t="shared" si="14"/>
        <v>0</v>
      </c>
      <c r="Y7" s="11"/>
      <c r="Z7" s="11"/>
      <c r="AA7" s="11"/>
      <c r="AB7" s="11"/>
      <c r="AC7" s="11"/>
      <c r="AD7" s="11"/>
      <c r="AE7" s="11"/>
      <c r="AF7" s="11"/>
    </row>
    <row r="8" spans="1:32" ht="15.75" x14ac:dyDescent="0.25">
      <c r="A8" s="18" t="s">
        <v>42</v>
      </c>
      <c r="B8" s="6">
        <v>7</v>
      </c>
      <c r="C8" s="6">
        <v>1</v>
      </c>
      <c r="D8" s="6">
        <v>0</v>
      </c>
      <c r="E8" s="6">
        <v>0</v>
      </c>
      <c r="F8" s="6">
        <v>0</v>
      </c>
      <c r="G8" s="3">
        <v>98</v>
      </c>
      <c r="H8" s="7">
        <v>1</v>
      </c>
      <c r="I8" s="7">
        <v>0</v>
      </c>
      <c r="J8" s="9">
        <f t="shared" si="0"/>
        <v>1</v>
      </c>
      <c r="K8" s="9">
        <f t="shared" si="1"/>
        <v>1</v>
      </c>
      <c r="L8" s="9">
        <f t="shared" si="2"/>
        <v>0</v>
      </c>
      <c r="M8" s="9">
        <f t="shared" si="3"/>
        <v>1</v>
      </c>
      <c r="N8" s="9">
        <f t="shared" si="4"/>
        <v>0</v>
      </c>
      <c r="O8" s="9">
        <f t="shared" si="5"/>
        <v>0</v>
      </c>
      <c r="P8" s="9">
        <f t="shared" si="6"/>
        <v>0</v>
      </c>
      <c r="Q8" s="17">
        <f t="shared" si="7"/>
        <v>98</v>
      </c>
      <c r="R8" s="17">
        <f t="shared" si="8"/>
        <v>0</v>
      </c>
      <c r="S8" s="17">
        <f t="shared" si="9"/>
        <v>0</v>
      </c>
      <c r="T8" s="17">
        <f t="shared" si="10"/>
        <v>0</v>
      </c>
      <c r="U8" s="17">
        <f t="shared" si="11"/>
        <v>0</v>
      </c>
      <c r="V8" s="17">
        <f t="shared" si="12"/>
        <v>0</v>
      </c>
      <c r="W8" s="17">
        <f t="shared" si="13"/>
        <v>0</v>
      </c>
      <c r="X8" s="17">
        <f t="shared" si="14"/>
        <v>0</v>
      </c>
      <c r="Y8" s="11"/>
      <c r="Z8" s="11"/>
      <c r="AA8" s="11"/>
      <c r="AB8" s="11"/>
      <c r="AC8" s="11"/>
      <c r="AD8" s="11"/>
      <c r="AE8" s="11"/>
      <c r="AF8" s="11"/>
    </row>
    <row r="9" spans="1:32" ht="15.75" x14ac:dyDescent="0.25">
      <c r="A9" s="18" t="s">
        <v>0</v>
      </c>
      <c r="B9" s="6">
        <v>8</v>
      </c>
      <c r="C9" s="6">
        <v>1</v>
      </c>
      <c r="D9" s="6">
        <v>0</v>
      </c>
      <c r="E9" s="6">
        <v>0</v>
      </c>
      <c r="F9" s="6">
        <v>0</v>
      </c>
      <c r="G9" s="3">
        <v>101</v>
      </c>
      <c r="H9" s="7">
        <v>1</v>
      </c>
      <c r="I9" s="7">
        <v>0</v>
      </c>
      <c r="J9" s="9">
        <f t="shared" si="0"/>
        <v>1</v>
      </c>
      <c r="K9" s="9">
        <f t="shared" si="1"/>
        <v>1</v>
      </c>
      <c r="L9" s="9">
        <f t="shared" si="2"/>
        <v>0</v>
      </c>
      <c r="M9" s="9">
        <f t="shared" si="3"/>
        <v>1</v>
      </c>
      <c r="N9" s="9">
        <f t="shared" si="4"/>
        <v>0</v>
      </c>
      <c r="O9" s="9">
        <f t="shared" si="5"/>
        <v>0</v>
      </c>
      <c r="P9" s="9">
        <f t="shared" si="6"/>
        <v>0</v>
      </c>
      <c r="Q9" s="17">
        <f t="shared" si="7"/>
        <v>101</v>
      </c>
      <c r="R9" s="17">
        <f t="shared" si="8"/>
        <v>0</v>
      </c>
      <c r="S9" s="17">
        <f t="shared" si="9"/>
        <v>0</v>
      </c>
      <c r="T9" s="17">
        <f t="shared" si="10"/>
        <v>0</v>
      </c>
      <c r="U9" s="17">
        <f t="shared" si="11"/>
        <v>0</v>
      </c>
      <c r="V9" s="17">
        <f t="shared" si="12"/>
        <v>0</v>
      </c>
      <c r="W9" s="17">
        <f t="shared" si="13"/>
        <v>0</v>
      </c>
      <c r="X9" s="17">
        <f t="shared" si="14"/>
        <v>0</v>
      </c>
      <c r="Y9" s="11"/>
      <c r="Z9" s="11"/>
      <c r="AA9" s="11"/>
      <c r="AB9" s="11"/>
      <c r="AC9" s="11"/>
      <c r="AD9" s="11"/>
      <c r="AE9" s="11"/>
      <c r="AF9" s="11"/>
    </row>
    <row r="10" spans="1:32" ht="15" customHeight="1" x14ac:dyDescent="0.25">
      <c r="A10" s="19" t="s">
        <v>8</v>
      </c>
      <c r="B10" s="6">
        <v>9</v>
      </c>
      <c r="C10" s="6">
        <v>0</v>
      </c>
      <c r="D10" s="6">
        <v>1</v>
      </c>
      <c r="E10" s="6">
        <v>0</v>
      </c>
      <c r="F10" s="6">
        <v>0</v>
      </c>
      <c r="G10" s="3">
        <v>96</v>
      </c>
      <c r="H10" s="7">
        <v>0</v>
      </c>
      <c r="I10" s="7">
        <v>0</v>
      </c>
      <c r="J10" s="9">
        <f t="shared" si="0"/>
        <v>0</v>
      </c>
      <c r="K10" s="9">
        <f t="shared" si="1"/>
        <v>0</v>
      </c>
      <c r="L10" s="9">
        <f t="shared" si="2"/>
        <v>0</v>
      </c>
      <c r="M10" s="9">
        <f t="shared" si="3"/>
        <v>0</v>
      </c>
      <c r="N10" s="9">
        <f t="shared" si="4"/>
        <v>0</v>
      </c>
      <c r="O10" s="9">
        <f t="shared" si="5"/>
        <v>0</v>
      </c>
      <c r="P10" s="9">
        <f t="shared" si="6"/>
        <v>0</v>
      </c>
      <c r="Q10" s="15">
        <f t="shared" si="7"/>
        <v>0</v>
      </c>
      <c r="R10" s="15">
        <f t="shared" si="8"/>
        <v>0</v>
      </c>
      <c r="S10" s="15">
        <f t="shared" si="9"/>
        <v>0</v>
      </c>
      <c r="T10" s="15">
        <f t="shared" si="10"/>
        <v>0</v>
      </c>
      <c r="U10" s="15">
        <f t="shared" si="11"/>
        <v>0</v>
      </c>
      <c r="V10" s="15">
        <f t="shared" si="12"/>
        <v>0</v>
      </c>
      <c r="W10" s="15">
        <f t="shared" si="13"/>
        <v>0</v>
      </c>
      <c r="X10" s="15">
        <f t="shared" si="14"/>
        <v>0</v>
      </c>
      <c r="Y10" s="11"/>
      <c r="Z10" s="11"/>
      <c r="AA10" s="11"/>
      <c r="AB10" s="11"/>
      <c r="AC10" s="11"/>
      <c r="AD10" s="11"/>
      <c r="AE10" s="11"/>
      <c r="AF10" s="11"/>
    </row>
    <row r="11" spans="1:32" ht="15.75" x14ac:dyDescent="0.25">
      <c r="A11" s="19" t="s">
        <v>17</v>
      </c>
      <c r="B11" s="6">
        <v>10</v>
      </c>
      <c r="C11" s="6">
        <v>0</v>
      </c>
      <c r="D11" s="6">
        <v>1</v>
      </c>
      <c r="E11" s="6">
        <v>0</v>
      </c>
      <c r="F11" s="6">
        <v>0</v>
      </c>
      <c r="G11" s="3">
        <v>54</v>
      </c>
      <c r="H11" s="7">
        <v>0</v>
      </c>
      <c r="I11" s="7">
        <v>0</v>
      </c>
      <c r="J11" s="9">
        <f t="shared" si="0"/>
        <v>0</v>
      </c>
      <c r="K11" s="9">
        <f t="shared" si="1"/>
        <v>0</v>
      </c>
      <c r="L11" s="9">
        <f t="shared" si="2"/>
        <v>0</v>
      </c>
      <c r="M11" s="9">
        <f t="shared" si="3"/>
        <v>0</v>
      </c>
      <c r="N11" s="9">
        <f t="shared" si="4"/>
        <v>0</v>
      </c>
      <c r="O11" s="9">
        <f t="shared" si="5"/>
        <v>0</v>
      </c>
      <c r="P11" s="9">
        <f t="shared" si="6"/>
        <v>0</v>
      </c>
      <c r="Q11" s="15">
        <f t="shared" si="7"/>
        <v>0</v>
      </c>
      <c r="R11" s="15">
        <f t="shared" si="8"/>
        <v>0</v>
      </c>
      <c r="S11" s="15">
        <f t="shared" si="9"/>
        <v>0</v>
      </c>
      <c r="T11" s="15">
        <f t="shared" si="10"/>
        <v>0</v>
      </c>
      <c r="U11" s="15">
        <f t="shared" si="11"/>
        <v>0</v>
      </c>
      <c r="V11" s="15">
        <f t="shared" si="12"/>
        <v>0</v>
      </c>
      <c r="W11" s="15">
        <f t="shared" si="13"/>
        <v>0</v>
      </c>
      <c r="X11" s="15">
        <f t="shared" si="14"/>
        <v>0</v>
      </c>
      <c r="Y11" s="11"/>
      <c r="Z11" s="11"/>
      <c r="AA11" s="11"/>
      <c r="AB11" s="11"/>
      <c r="AC11" s="11"/>
      <c r="AD11" s="11"/>
      <c r="AE11" s="11"/>
      <c r="AF11" s="11"/>
    </row>
    <row r="12" spans="1:32" ht="15.75" x14ac:dyDescent="0.25">
      <c r="A12" s="19" t="s">
        <v>11</v>
      </c>
      <c r="B12" s="6">
        <v>11</v>
      </c>
      <c r="C12" s="6">
        <v>0</v>
      </c>
      <c r="D12" s="6">
        <v>1</v>
      </c>
      <c r="E12" s="6">
        <v>0</v>
      </c>
      <c r="F12" s="6">
        <v>0</v>
      </c>
      <c r="G12" s="3">
        <v>100</v>
      </c>
      <c r="H12" s="7">
        <v>1</v>
      </c>
      <c r="I12" s="7">
        <v>0</v>
      </c>
      <c r="J12" s="9">
        <f t="shared" si="0"/>
        <v>1</v>
      </c>
      <c r="K12" s="9">
        <f t="shared" si="1"/>
        <v>1</v>
      </c>
      <c r="L12" s="9">
        <f t="shared" si="2"/>
        <v>0</v>
      </c>
      <c r="M12" s="9">
        <f t="shared" si="3"/>
        <v>0</v>
      </c>
      <c r="N12" s="9">
        <f t="shared" si="4"/>
        <v>1</v>
      </c>
      <c r="O12" s="9">
        <f t="shared" si="5"/>
        <v>0</v>
      </c>
      <c r="P12" s="9">
        <f t="shared" si="6"/>
        <v>0</v>
      </c>
      <c r="Q12" s="15">
        <f t="shared" si="7"/>
        <v>0</v>
      </c>
      <c r="R12" s="15">
        <f t="shared" si="8"/>
        <v>0</v>
      </c>
      <c r="S12" s="15">
        <f t="shared" si="9"/>
        <v>100</v>
      </c>
      <c r="T12" s="15">
        <f t="shared" si="10"/>
        <v>0</v>
      </c>
      <c r="U12" s="15">
        <f t="shared" si="11"/>
        <v>0</v>
      </c>
      <c r="V12" s="15">
        <f t="shared" si="12"/>
        <v>0</v>
      </c>
      <c r="W12" s="15">
        <f t="shared" si="13"/>
        <v>0</v>
      </c>
      <c r="X12" s="15">
        <f t="shared" si="14"/>
        <v>0</v>
      </c>
      <c r="Y12" s="11"/>
      <c r="Z12" s="11"/>
      <c r="AA12" s="11"/>
      <c r="AB12" s="11"/>
      <c r="AC12" s="11"/>
      <c r="AD12" s="11"/>
      <c r="AE12" s="11"/>
      <c r="AF12" s="11"/>
    </row>
    <row r="13" spans="1:32" ht="15.75" x14ac:dyDescent="0.25">
      <c r="A13" s="19" t="s">
        <v>3</v>
      </c>
      <c r="B13" s="6">
        <v>12</v>
      </c>
      <c r="C13" s="6">
        <v>0</v>
      </c>
      <c r="D13" s="6">
        <v>1</v>
      </c>
      <c r="E13" s="6">
        <v>0</v>
      </c>
      <c r="F13" s="6">
        <v>0</v>
      </c>
      <c r="G13" s="3">
        <v>91</v>
      </c>
      <c r="H13" s="7">
        <v>0</v>
      </c>
      <c r="I13" s="7">
        <v>0</v>
      </c>
      <c r="J13" s="9">
        <f t="shared" si="0"/>
        <v>0</v>
      </c>
      <c r="K13" s="9">
        <f t="shared" si="1"/>
        <v>0</v>
      </c>
      <c r="L13" s="9">
        <f t="shared" si="2"/>
        <v>0</v>
      </c>
      <c r="M13" s="9">
        <f t="shared" si="3"/>
        <v>0</v>
      </c>
      <c r="N13" s="9">
        <f t="shared" si="4"/>
        <v>0</v>
      </c>
      <c r="O13" s="9">
        <f t="shared" si="5"/>
        <v>0</v>
      </c>
      <c r="P13" s="9">
        <f t="shared" si="6"/>
        <v>0</v>
      </c>
      <c r="Q13" s="15">
        <f t="shared" si="7"/>
        <v>0</v>
      </c>
      <c r="R13" s="15">
        <f t="shared" si="8"/>
        <v>0</v>
      </c>
      <c r="S13" s="15">
        <f t="shared" si="9"/>
        <v>0</v>
      </c>
      <c r="T13" s="15">
        <f t="shared" si="10"/>
        <v>0</v>
      </c>
      <c r="U13" s="15">
        <f t="shared" si="11"/>
        <v>0</v>
      </c>
      <c r="V13" s="15">
        <f t="shared" si="12"/>
        <v>0</v>
      </c>
      <c r="W13" s="15">
        <f t="shared" si="13"/>
        <v>0</v>
      </c>
      <c r="X13" s="15">
        <f t="shared" si="14"/>
        <v>0</v>
      </c>
      <c r="Y13" s="11"/>
      <c r="Z13" s="11"/>
      <c r="AA13" s="11"/>
      <c r="AB13" s="11"/>
      <c r="AC13" s="11"/>
      <c r="AD13" s="11"/>
      <c r="AE13" s="11"/>
      <c r="AF13" s="11"/>
    </row>
    <row r="14" spans="1:32" ht="15.75" x14ac:dyDescent="0.25">
      <c r="A14" s="19" t="s">
        <v>15</v>
      </c>
      <c r="B14" s="6">
        <v>13</v>
      </c>
      <c r="C14" s="6">
        <v>0</v>
      </c>
      <c r="D14" s="6">
        <v>1</v>
      </c>
      <c r="E14" s="6">
        <v>0</v>
      </c>
      <c r="F14" s="6">
        <v>0</v>
      </c>
      <c r="G14" s="3">
        <v>110</v>
      </c>
      <c r="H14" s="7">
        <v>1</v>
      </c>
      <c r="I14" s="7">
        <v>0</v>
      </c>
      <c r="J14" s="9">
        <f t="shared" si="0"/>
        <v>1</v>
      </c>
      <c r="K14" s="9">
        <f t="shared" si="1"/>
        <v>1</v>
      </c>
      <c r="L14" s="9">
        <f t="shared" si="2"/>
        <v>0</v>
      </c>
      <c r="M14" s="9">
        <f t="shared" si="3"/>
        <v>0</v>
      </c>
      <c r="N14" s="9">
        <f t="shared" si="4"/>
        <v>1</v>
      </c>
      <c r="O14" s="9">
        <f t="shared" si="5"/>
        <v>0</v>
      </c>
      <c r="P14" s="9">
        <f t="shared" si="6"/>
        <v>0</v>
      </c>
      <c r="Q14" s="15">
        <f t="shared" si="7"/>
        <v>0</v>
      </c>
      <c r="R14" s="15">
        <f t="shared" si="8"/>
        <v>0</v>
      </c>
      <c r="S14" s="15">
        <f t="shared" si="9"/>
        <v>110</v>
      </c>
      <c r="T14" s="15">
        <f t="shared" si="10"/>
        <v>0</v>
      </c>
      <c r="U14" s="15">
        <f t="shared" si="11"/>
        <v>0</v>
      </c>
      <c r="V14" s="15">
        <f t="shared" si="12"/>
        <v>0</v>
      </c>
      <c r="W14" s="15">
        <f t="shared" si="13"/>
        <v>0</v>
      </c>
      <c r="X14" s="15">
        <f t="shared" si="14"/>
        <v>0</v>
      </c>
      <c r="Y14" s="11"/>
      <c r="Z14" s="11"/>
      <c r="AA14" s="11"/>
      <c r="AB14" s="11"/>
      <c r="AC14" s="11"/>
      <c r="AD14" s="11"/>
      <c r="AE14" s="11"/>
      <c r="AF14" s="11"/>
    </row>
    <row r="15" spans="1:32" ht="15.75" x14ac:dyDescent="0.25">
      <c r="A15" s="19" t="s">
        <v>14</v>
      </c>
      <c r="B15" s="6">
        <v>14</v>
      </c>
      <c r="C15" s="6">
        <v>0</v>
      </c>
      <c r="D15" s="6">
        <v>1</v>
      </c>
      <c r="E15" s="6">
        <v>0</v>
      </c>
      <c r="F15" s="6">
        <v>0</v>
      </c>
      <c r="G15" s="3">
        <v>99</v>
      </c>
      <c r="H15" s="7">
        <v>1</v>
      </c>
      <c r="I15" s="7">
        <v>0</v>
      </c>
      <c r="J15" s="9">
        <f t="shared" si="0"/>
        <v>1</v>
      </c>
      <c r="K15" s="9">
        <f t="shared" si="1"/>
        <v>1</v>
      </c>
      <c r="L15" s="9">
        <f t="shared" si="2"/>
        <v>0</v>
      </c>
      <c r="M15" s="9">
        <f t="shared" si="3"/>
        <v>0</v>
      </c>
      <c r="N15" s="9">
        <f t="shared" si="4"/>
        <v>1</v>
      </c>
      <c r="O15" s="9">
        <f t="shared" si="5"/>
        <v>0</v>
      </c>
      <c r="P15" s="9">
        <f t="shared" si="6"/>
        <v>0</v>
      </c>
      <c r="Q15" s="15">
        <f t="shared" si="7"/>
        <v>0</v>
      </c>
      <c r="R15" s="15">
        <f t="shared" si="8"/>
        <v>0</v>
      </c>
      <c r="S15" s="15">
        <f t="shared" si="9"/>
        <v>99</v>
      </c>
      <c r="T15" s="15">
        <f t="shared" si="10"/>
        <v>0</v>
      </c>
      <c r="U15" s="15">
        <f t="shared" si="11"/>
        <v>0</v>
      </c>
      <c r="V15" s="15">
        <f t="shared" si="12"/>
        <v>0</v>
      </c>
      <c r="W15" s="15">
        <f t="shared" si="13"/>
        <v>0</v>
      </c>
      <c r="X15" s="15">
        <f t="shared" si="14"/>
        <v>0</v>
      </c>
      <c r="Y15" s="11"/>
      <c r="Z15" s="11"/>
      <c r="AA15" s="11"/>
      <c r="AB15" s="11"/>
      <c r="AC15" s="11"/>
      <c r="AD15" s="11"/>
      <c r="AE15" s="11"/>
      <c r="AF15" s="11"/>
    </row>
    <row r="16" spans="1:32" ht="15.75" x14ac:dyDescent="0.25">
      <c r="A16" s="19" t="s">
        <v>7</v>
      </c>
      <c r="B16" s="6">
        <v>15</v>
      </c>
      <c r="C16" s="6">
        <v>0</v>
      </c>
      <c r="D16" s="6">
        <v>1</v>
      </c>
      <c r="E16" s="6">
        <v>0</v>
      </c>
      <c r="F16" s="6">
        <v>0</v>
      </c>
      <c r="G16" s="3">
        <v>108</v>
      </c>
      <c r="H16" s="7">
        <v>1</v>
      </c>
      <c r="I16" s="7">
        <v>0</v>
      </c>
      <c r="J16" s="9">
        <f t="shared" si="0"/>
        <v>1</v>
      </c>
      <c r="K16" s="9">
        <f t="shared" si="1"/>
        <v>1</v>
      </c>
      <c r="L16" s="9">
        <f t="shared" si="2"/>
        <v>0</v>
      </c>
      <c r="M16" s="9">
        <f t="shared" si="3"/>
        <v>0</v>
      </c>
      <c r="N16" s="9">
        <f t="shared" si="4"/>
        <v>1</v>
      </c>
      <c r="O16" s="9">
        <f t="shared" si="5"/>
        <v>0</v>
      </c>
      <c r="P16" s="9">
        <f t="shared" si="6"/>
        <v>0</v>
      </c>
      <c r="Q16" s="15">
        <f t="shared" si="7"/>
        <v>0</v>
      </c>
      <c r="R16" s="15">
        <f t="shared" si="8"/>
        <v>0</v>
      </c>
      <c r="S16" s="15">
        <f t="shared" si="9"/>
        <v>108</v>
      </c>
      <c r="T16" s="15">
        <f t="shared" si="10"/>
        <v>0</v>
      </c>
      <c r="U16" s="15">
        <f t="shared" si="11"/>
        <v>0</v>
      </c>
      <c r="V16" s="15">
        <f t="shared" si="12"/>
        <v>0</v>
      </c>
      <c r="W16" s="15">
        <f t="shared" si="13"/>
        <v>0</v>
      </c>
      <c r="X16" s="15">
        <f t="shared" si="14"/>
        <v>0</v>
      </c>
      <c r="Y16" s="11"/>
      <c r="Z16" s="11"/>
      <c r="AA16" s="11"/>
      <c r="AB16" s="11"/>
      <c r="AC16" s="11"/>
      <c r="AD16" s="11"/>
      <c r="AE16" s="11"/>
      <c r="AF16" s="11"/>
    </row>
    <row r="17" spans="1:32" ht="15.75" x14ac:dyDescent="0.25">
      <c r="A17" s="19" t="s">
        <v>24</v>
      </c>
      <c r="B17" s="6">
        <v>16</v>
      </c>
      <c r="C17" s="6">
        <v>0</v>
      </c>
      <c r="D17" s="6">
        <v>1</v>
      </c>
      <c r="E17" s="6">
        <v>0</v>
      </c>
      <c r="F17" s="6">
        <v>0</v>
      </c>
      <c r="G17" s="3">
        <v>68</v>
      </c>
      <c r="H17" s="7">
        <v>0</v>
      </c>
      <c r="I17" s="7">
        <v>0</v>
      </c>
      <c r="J17" s="9">
        <f t="shared" si="0"/>
        <v>0</v>
      </c>
      <c r="K17" s="9">
        <f t="shared" si="1"/>
        <v>0</v>
      </c>
      <c r="L17" s="9">
        <f t="shared" si="2"/>
        <v>0</v>
      </c>
      <c r="M17" s="9">
        <f t="shared" si="3"/>
        <v>0</v>
      </c>
      <c r="N17" s="9">
        <f t="shared" si="4"/>
        <v>0</v>
      </c>
      <c r="O17" s="9">
        <f t="shared" si="5"/>
        <v>0</v>
      </c>
      <c r="P17" s="9">
        <f t="shared" si="6"/>
        <v>0</v>
      </c>
      <c r="Q17" s="15">
        <f t="shared" si="7"/>
        <v>0</v>
      </c>
      <c r="R17" s="15">
        <f t="shared" si="8"/>
        <v>0</v>
      </c>
      <c r="S17" s="15">
        <f t="shared" si="9"/>
        <v>0</v>
      </c>
      <c r="T17" s="15">
        <f t="shared" si="10"/>
        <v>0</v>
      </c>
      <c r="U17" s="15">
        <f t="shared" si="11"/>
        <v>0</v>
      </c>
      <c r="V17" s="15">
        <f t="shared" si="12"/>
        <v>0</v>
      </c>
      <c r="W17" s="15">
        <f t="shared" si="13"/>
        <v>0</v>
      </c>
      <c r="X17" s="15">
        <f t="shared" si="14"/>
        <v>0</v>
      </c>
      <c r="Y17" s="11"/>
      <c r="Z17" s="11"/>
      <c r="AA17" s="11"/>
      <c r="AB17" s="11"/>
      <c r="AC17" s="11"/>
      <c r="AD17" s="11"/>
      <c r="AE17" s="11"/>
      <c r="AF17" s="11"/>
    </row>
    <row r="18" spans="1:32" ht="15.75" x14ac:dyDescent="0.25">
      <c r="A18" s="20" t="s">
        <v>4</v>
      </c>
      <c r="B18" s="6">
        <v>17</v>
      </c>
      <c r="C18" s="6">
        <v>0</v>
      </c>
      <c r="D18" s="6">
        <v>0</v>
      </c>
      <c r="E18" s="6">
        <v>1</v>
      </c>
      <c r="F18" s="6">
        <v>0</v>
      </c>
      <c r="G18" s="3">
        <v>102</v>
      </c>
      <c r="H18" s="7">
        <v>1</v>
      </c>
      <c r="I18" s="7">
        <v>0</v>
      </c>
      <c r="J18" s="9">
        <f t="shared" si="0"/>
        <v>1</v>
      </c>
      <c r="K18" s="9">
        <f t="shared" si="1"/>
        <v>0</v>
      </c>
      <c r="L18" s="9">
        <f t="shared" si="2"/>
        <v>1</v>
      </c>
      <c r="M18" s="9">
        <f t="shared" si="3"/>
        <v>0</v>
      </c>
      <c r="N18" s="9">
        <f t="shared" si="4"/>
        <v>0</v>
      </c>
      <c r="O18" s="9">
        <f t="shared" si="5"/>
        <v>1</v>
      </c>
      <c r="P18" s="9">
        <f t="shared" si="6"/>
        <v>0</v>
      </c>
      <c r="Q18" s="16">
        <f t="shared" si="7"/>
        <v>0</v>
      </c>
      <c r="R18" s="16">
        <f t="shared" si="8"/>
        <v>0</v>
      </c>
      <c r="S18" s="16">
        <f t="shared" si="9"/>
        <v>0</v>
      </c>
      <c r="T18" s="16">
        <f t="shared" si="10"/>
        <v>0</v>
      </c>
      <c r="U18" s="16">
        <f t="shared" si="11"/>
        <v>102</v>
      </c>
      <c r="V18" s="16">
        <f t="shared" si="12"/>
        <v>0</v>
      </c>
      <c r="W18" s="16">
        <f t="shared" si="13"/>
        <v>0</v>
      </c>
      <c r="X18" s="16">
        <f t="shared" si="14"/>
        <v>0</v>
      </c>
      <c r="Y18" s="11"/>
      <c r="Z18" s="11"/>
      <c r="AA18" s="11"/>
      <c r="AB18" s="11"/>
      <c r="AC18" s="11"/>
      <c r="AD18" s="11"/>
      <c r="AE18" s="11"/>
      <c r="AF18" s="11"/>
    </row>
    <row r="19" spans="1:32" ht="15.75" x14ac:dyDescent="0.25">
      <c r="A19" s="20" t="s">
        <v>12</v>
      </c>
      <c r="B19" s="6">
        <v>18</v>
      </c>
      <c r="C19" s="6">
        <v>0</v>
      </c>
      <c r="D19" s="6">
        <v>0</v>
      </c>
      <c r="E19" s="6">
        <v>1</v>
      </c>
      <c r="F19" s="6">
        <v>0</v>
      </c>
      <c r="G19" s="3">
        <v>90</v>
      </c>
      <c r="H19" s="7">
        <v>0</v>
      </c>
      <c r="I19" s="7">
        <v>0</v>
      </c>
      <c r="J19" s="9">
        <f t="shared" si="0"/>
        <v>0</v>
      </c>
      <c r="K19" s="9">
        <f t="shared" si="1"/>
        <v>0</v>
      </c>
      <c r="L19" s="9">
        <f t="shared" si="2"/>
        <v>0</v>
      </c>
      <c r="M19" s="9">
        <f t="shared" si="3"/>
        <v>0</v>
      </c>
      <c r="N19" s="9">
        <f t="shared" si="4"/>
        <v>0</v>
      </c>
      <c r="O19" s="9">
        <f t="shared" si="5"/>
        <v>0</v>
      </c>
      <c r="P19" s="9">
        <f t="shared" si="6"/>
        <v>0</v>
      </c>
      <c r="Q19" s="16">
        <f t="shared" si="7"/>
        <v>0</v>
      </c>
      <c r="R19" s="16">
        <f t="shared" si="8"/>
        <v>0</v>
      </c>
      <c r="S19" s="16">
        <f t="shared" si="9"/>
        <v>0</v>
      </c>
      <c r="T19" s="16">
        <f t="shared" si="10"/>
        <v>0</v>
      </c>
      <c r="U19" s="16">
        <f t="shared" si="11"/>
        <v>0</v>
      </c>
      <c r="V19" s="16">
        <f t="shared" si="12"/>
        <v>0</v>
      </c>
      <c r="W19" s="16">
        <f t="shared" si="13"/>
        <v>0</v>
      </c>
      <c r="X19" s="16">
        <f t="shared" si="14"/>
        <v>0</v>
      </c>
      <c r="Y19" s="11"/>
      <c r="Z19" s="11"/>
      <c r="AA19" s="11"/>
      <c r="AB19" s="11"/>
      <c r="AC19" s="11"/>
      <c r="AD19" s="11"/>
      <c r="AE19" s="11"/>
      <c r="AF19" s="11"/>
    </row>
    <row r="20" spans="1:32" ht="15.75" x14ac:dyDescent="0.25">
      <c r="A20" s="20" t="s">
        <v>1</v>
      </c>
      <c r="B20" s="6">
        <v>19</v>
      </c>
      <c r="C20" s="6">
        <v>0</v>
      </c>
      <c r="D20" s="6">
        <v>0</v>
      </c>
      <c r="E20" s="6">
        <v>1</v>
      </c>
      <c r="F20" s="6">
        <v>0</v>
      </c>
      <c r="G20" s="3">
        <v>92</v>
      </c>
      <c r="H20" s="7">
        <v>0</v>
      </c>
      <c r="I20" s="7">
        <v>0</v>
      </c>
      <c r="J20" s="9">
        <f t="shared" si="0"/>
        <v>0</v>
      </c>
      <c r="K20" s="9">
        <f t="shared" si="1"/>
        <v>0</v>
      </c>
      <c r="L20" s="9">
        <f t="shared" si="2"/>
        <v>0</v>
      </c>
      <c r="M20" s="9">
        <f t="shared" si="3"/>
        <v>0</v>
      </c>
      <c r="N20" s="9">
        <f t="shared" si="4"/>
        <v>0</v>
      </c>
      <c r="O20" s="9">
        <f t="shared" si="5"/>
        <v>0</v>
      </c>
      <c r="P20" s="9">
        <f t="shared" si="6"/>
        <v>0</v>
      </c>
      <c r="Q20" s="16">
        <f t="shared" si="7"/>
        <v>0</v>
      </c>
      <c r="R20" s="16">
        <f t="shared" si="8"/>
        <v>0</v>
      </c>
      <c r="S20" s="16">
        <f t="shared" si="9"/>
        <v>0</v>
      </c>
      <c r="T20" s="16">
        <f t="shared" si="10"/>
        <v>0</v>
      </c>
      <c r="U20" s="16">
        <f t="shared" si="11"/>
        <v>0</v>
      </c>
      <c r="V20" s="16">
        <f t="shared" si="12"/>
        <v>0</v>
      </c>
      <c r="W20" s="16">
        <f t="shared" si="13"/>
        <v>0</v>
      </c>
      <c r="X20" s="16">
        <f t="shared" si="14"/>
        <v>0</v>
      </c>
      <c r="Y20" s="11"/>
      <c r="Z20" s="11"/>
      <c r="AA20" s="11"/>
      <c r="AB20" s="11"/>
      <c r="AC20" s="11"/>
      <c r="AD20" s="11"/>
      <c r="AE20" s="11"/>
      <c r="AF20" s="11"/>
    </row>
    <row r="21" spans="1:32" ht="15.75" x14ac:dyDescent="0.25">
      <c r="A21" s="20" t="s">
        <v>13</v>
      </c>
      <c r="B21" s="6">
        <v>20</v>
      </c>
      <c r="C21" s="6">
        <v>0</v>
      </c>
      <c r="D21" s="6">
        <v>0</v>
      </c>
      <c r="E21" s="6">
        <v>1</v>
      </c>
      <c r="F21" s="6">
        <v>0</v>
      </c>
      <c r="G21" s="3">
        <v>100</v>
      </c>
      <c r="H21" s="7">
        <v>1</v>
      </c>
      <c r="I21" s="7">
        <v>0</v>
      </c>
      <c r="J21" s="9">
        <f t="shared" si="0"/>
        <v>1</v>
      </c>
      <c r="K21" s="9">
        <f t="shared" si="1"/>
        <v>0</v>
      </c>
      <c r="L21" s="9">
        <f t="shared" si="2"/>
        <v>1</v>
      </c>
      <c r="M21" s="9">
        <f t="shared" si="3"/>
        <v>0</v>
      </c>
      <c r="N21" s="9">
        <f t="shared" si="4"/>
        <v>0</v>
      </c>
      <c r="O21" s="9">
        <f t="shared" si="5"/>
        <v>1</v>
      </c>
      <c r="P21" s="9">
        <f t="shared" si="6"/>
        <v>0</v>
      </c>
      <c r="Q21" s="16">
        <f t="shared" si="7"/>
        <v>0</v>
      </c>
      <c r="R21" s="16">
        <f t="shared" si="8"/>
        <v>0</v>
      </c>
      <c r="S21" s="16">
        <f t="shared" si="9"/>
        <v>0</v>
      </c>
      <c r="T21" s="16">
        <f t="shared" si="10"/>
        <v>0</v>
      </c>
      <c r="U21" s="16">
        <f t="shared" si="11"/>
        <v>100</v>
      </c>
      <c r="V21" s="16">
        <f t="shared" si="12"/>
        <v>0</v>
      </c>
      <c r="W21" s="16">
        <f t="shared" si="13"/>
        <v>0</v>
      </c>
      <c r="X21" s="16">
        <f t="shared" si="14"/>
        <v>0</v>
      </c>
      <c r="Y21" s="11"/>
      <c r="Z21" s="11"/>
      <c r="AA21" s="11"/>
      <c r="AB21" s="11"/>
      <c r="AC21" s="11"/>
      <c r="AD21" s="11"/>
      <c r="AE21" s="11"/>
      <c r="AF21" s="11"/>
    </row>
    <row r="22" spans="1:32" ht="15.75" x14ac:dyDescent="0.25">
      <c r="A22" s="20" t="s">
        <v>10</v>
      </c>
      <c r="B22" s="6">
        <v>21</v>
      </c>
      <c r="C22" s="6">
        <v>0</v>
      </c>
      <c r="D22" s="6">
        <v>0</v>
      </c>
      <c r="E22" s="6">
        <v>1</v>
      </c>
      <c r="F22" s="6">
        <v>0</v>
      </c>
      <c r="G22" s="3">
        <v>104</v>
      </c>
      <c r="H22" s="7">
        <v>1</v>
      </c>
      <c r="I22" s="7">
        <v>0</v>
      </c>
      <c r="J22" s="9">
        <f t="shared" si="0"/>
        <v>1</v>
      </c>
      <c r="K22" s="9">
        <f t="shared" si="1"/>
        <v>0</v>
      </c>
      <c r="L22" s="9">
        <f t="shared" si="2"/>
        <v>1</v>
      </c>
      <c r="M22" s="9">
        <f t="shared" si="3"/>
        <v>0</v>
      </c>
      <c r="N22" s="9">
        <f t="shared" si="4"/>
        <v>0</v>
      </c>
      <c r="O22" s="9">
        <f t="shared" si="5"/>
        <v>1</v>
      </c>
      <c r="P22" s="9">
        <f t="shared" si="6"/>
        <v>0</v>
      </c>
      <c r="Q22" s="16">
        <f t="shared" si="7"/>
        <v>0</v>
      </c>
      <c r="R22" s="16">
        <f t="shared" si="8"/>
        <v>0</v>
      </c>
      <c r="S22" s="16">
        <f t="shared" si="9"/>
        <v>0</v>
      </c>
      <c r="T22" s="16">
        <f t="shared" si="10"/>
        <v>0</v>
      </c>
      <c r="U22" s="16">
        <f t="shared" si="11"/>
        <v>104</v>
      </c>
      <c r="V22" s="16">
        <f t="shared" si="12"/>
        <v>0</v>
      </c>
      <c r="W22" s="16">
        <f t="shared" si="13"/>
        <v>0</v>
      </c>
      <c r="X22" s="16">
        <f t="shared" si="14"/>
        <v>0</v>
      </c>
      <c r="Y22" s="11"/>
      <c r="Z22" s="11"/>
      <c r="AA22" s="11"/>
      <c r="AB22" s="11"/>
      <c r="AC22" s="11"/>
      <c r="AD22" s="11"/>
      <c r="AE22" s="11"/>
      <c r="AF22" s="11"/>
    </row>
    <row r="23" spans="1:32" ht="15.75" x14ac:dyDescent="0.25">
      <c r="A23" s="20" t="s">
        <v>2</v>
      </c>
      <c r="B23" s="6">
        <v>22</v>
      </c>
      <c r="C23" s="6">
        <v>0</v>
      </c>
      <c r="D23" s="6">
        <v>0</v>
      </c>
      <c r="E23" s="6">
        <v>1</v>
      </c>
      <c r="F23" s="6">
        <v>0</v>
      </c>
      <c r="G23" s="3">
        <v>109</v>
      </c>
      <c r="H23" s="7">
        <v>0</v>
      </c>
      <c r="I23" s="7">
        <v>1</v>
      </c>
      <c r="J23" s="9">
        <f t="shared" si="0"/>
        <v>1</v>
      </c>
      <c r="K23" s="9">
        <f t="shared" si="1"/>
        <v>0</v>
      </c>
      <c r="L23" s="9">
        <f t="shared" si="2"/>
        <v>1</v>
      </c>
      <c r="M23" s="9">
        <f t="shared" si="3"/>
        <v>0</v>
      </c>
      <c r="N23" s="9">
        <f t="shared" si="4"/>
        <v>0</v>
      </c>
      <c r="O23" s="9">
        <f t="shared" si="5"/>
        <v>0</v>
      </c>
      <c r="P23" s="9">
        <f t="shared" si="6"/>
        <v>0</v>
      </c>
      <c r="Q23" s="16">
        <f t="shared" si="7"/>
        <v>0</v>
      </c>
      <c r="R23" s="16">
        <f t="shared" si="8"/>
        <v>0</v>
      </c>
      <c r="S23" s="16">
        <f t="shared" si="9"/>
        <v>0</v>
      </c>
      <c r="T23" s="16">
        <f t="shared" si="10"/>
        <v>0</v>
      </c>
      <c r="U23" s="16">
        <f t="shared" si="11"/>
        <v>0</v>
      </c>
      <c r="V23" s="16">
        <f t="shared" si="12"/>
        <v>109</v>
      </c>
      <c r="W23" s="16">
        <f t="shared" si="13"/>
        <v>0</v>
      </c>
      <c r="X23" s="16">
        <f t="shared" si="14"/>
        <v>0</v>
      </c>
      <c r="Y23" s="11"/>
      <c r="Z23" s="11"/>
      <c r="AA23" s="11"/>
      <c r="AB23" s="11"/>
      <c r="AC23" s="11"/>
      <c r="AD23" s="11"/>
      <c r="AE23" s="11"/>
      <c r="AF23" s="11"/>
    </row>
    <row r="24" spans="1:32" ht="15.75" x14ac:dyDescent="0.25">
      <c r="A24" s="20" t="s">
        <v>19</v>
      </c>
      <c r="B24" s="6">
        <v>23</v>
      </c>
      <c r="C24" s="6">
        <v>0</v>
      </c>
      <c r="D24" s="6">
        <v>0</v>
      </c>
      <c r="E24" s="6">
        <v>1</v>
      </c>
      <c r="F24" s="6">
        <v>0</v>
      </c>
      <c r="G24" s="3">
        <v>99</v>
      </c>
      <c r="H24" s="7">
        <v>0</v>
      </c>
      <c r="I24" s="7">
        <v>1</v>
      </c>
      <c r="J24" s="9">
        <f t="shared" si="0"/>
        <v>1</v>
      </c>
      <c r="K24" s="9">
        <f t="shared" si="1"/>
        <v>0</v>
      </c>
      <c r="L24" s="9">
        <f t="shared" si="2"/>
        <v>1</v>
      </c>
      <c r="M24" s="9">
        <f t="shared" si="3"/>
        <v>0</v>
      </c>
      <c r="N24" s="9">
        <f t="shared" si="4"/>
        <v>0</v>
      </c>
      <c r="O24" s="9">
        <f t="shared" si="5"/>
        <v>0</v>
      </c>
      <c r="P24" s="9">
        <f t="shared" si="6"/>
        <v>0</v>
      </c>
      <c r="Q24" s="16">
        <f t="shared" si="7"/>
        <v>0</v>
      </c>
      <c r="R24" s="16">
        <f t="shared" si="8"/>
        <v>0</v>
      </c>
      <c r="S24" s="16">
        <f t="shared" si="9"/>
        <v>0</v>
      </c>
      <c r="T24" s="16">
        <f t="shared" si="10"/>
        <v>0</v>
      </c>
      <c r="U24" s="16">
        <f t="shared" si="11"/>
        <v>0</v>
      </c>
      <c r="V24" s="16">
        <f t="shared" si="12"/>
        <v>99</v>
      </c>
      <c r="W24" s="16">
        <f t="shared" si="13"/>
        <v>0</v>
      </c>
      <c r="X24" s="16">
        <f t="shared" si="14"/>
        <v>0</v>
      </c>
      <c r="Y24" s="11"/>
      <c r="Z24" s="11"/>
      <c r="AA24" s="11"/>
      <c r="AB24" s="11"/>
      <c r="AC24" s="11"/>
      <c r="AD24" s="11"/>
      <c r="AE24" s="11"/>
      <c r="AF24" s="11"/>
    </row>
    <row r="25" spans="1:32" ht="15.75" x14ac:dyDescent="0.25">
      <c r="A25" s="21" t="s">
        <v>5</v>
      </c>
      <c r="B25" s="6">
        <v>24</v>
      </c>
      <c r="C25" s="6">
        <v>0</v>
      </c>
      <c r="D25" s="6">
        <v>0</v>
      </c>
      <c r="E25" s="6">
        <v>0</v>
      </c>
      <c r="F25" s="6">
        <v>1</v>
      </c>
      <c r="G25" s="3">
        <v>109</v>
      </c>
      <c r="H25" s="7">
        <v>1</v>
      </c>
      <c r="I25" s="7">
        <v>0</v>
      </c>
      <c r="J25" s="9">
        <f t="shared" si="0"/>
        <v>1</v>
      </c>
      <c r="K25" s="9">
        <f t="shared" si="1"/>
        <v>0</v>
      </c>
      <c r="L25" s="9">
        <f t="shared" si="2"/>
        <v>1</v>
      </c>
      <c r="M25" s="9">
        <f t="shared" si="3"/>
        <v>0</v>
      </c>
      <c r="N25" s="9">
        <f t="shared" si="4"/>
        <v>0</v>
      </c>
      <c r="O25" s="9">
        <f t="shared" si="5"/>
        <v>0</v>
      </c>
      <c r="P25" s="9">
        <f t="shared" si="6"/>
        <v>1</v>
      </c>
      <c r="Q25" s="14">
        <f t="shared" si="7"/>
        <v>0</v>
      </c>
      <c r="R25" s="14">
        <f t="shared" si="8"/>
        <v>0</v>
      </c>
      <c r="S25" s="14">
        <f t="shared" si="9"/>
        <v>0</v>
      </c>
      <c r="T25" s="14">
        <f t="shared" si="10"/>
        <v>0</v>
      </c>
      <c r="U25" s="14">
        <f t="shared" si="11"/>
        <v>0</v>
      </c>
      <c r="V25" s="14">
        <f t="shared" si="12"/>
        <v>0</v>
      </c>
      <c r="W25" s="14">
        <f t="shared" si="13"/>
        <v>109</v>
      </c>
      <c r="X25" s="14">
        <f t="shared" si="14"/>
        <v>0</v>
      </c>
      <c r="Y25" s="11"/>
      <c r="Z25" s="11"/>
      <c r="AA25" s="11"/>
      <c r="AB25" s="11"/>
      <c r="AC25" s="11"/>
      <c r="AD25" s="11"/>
      <c r="AE25" s="11"/>
      <c r="AF25" s="11"/>
    </row>
    <row r="26" spans="1:32" ht="15.75" x14ac:dyDescent="0.25">
      <c r="A26" s="21" t="s">
        <v>18</v>
      </c>
      <c r="B26" s="6">
        <v>25</v>
      </c>
      <c r="C26" s="6">
        <v>0</v>
      </c>
      <c r="D26" s="6">
        <v>0</v>
      </c>
      <c r="E26" s="6">
        <v>0</v>
      </c>
      <c r="F26" s="6">
        <v>1</v>
      </c>
      <c r="G26" s="3">
        <v>56</v>
      </c>
      <c r="H26" s="7">
        <v>0</v>
      </c>
      <c r="I26" s="7">
        <v>0</v>
      </c>
      <c r="J26" s="9">
        <f t="shared" si="0"/>
        <v>0</v>
      </c>
      <c r="K26" s="9">
        <f t="shared" si="1"/>
        <v>0</v>
      </c>
      <c r="L26" s="9">
        <f t="shared" si="2"/>
        <v>0</v>
      </c>
      <c r="M26" s="9">
        <f t="shared" si="3"/>
        <v>0</v>
      </c>
      <c r="N26" s="9">
        <f t="shared" si="4"/>
        <v>0</v>
      </c>
      <c r="O26" s="9">
        <f t="shared" si="5"/>
        <v>0</v>
      </c>
      <c r="P26" s="9">
        <f t="shared" si="6"/>
        <v>0</v>
      </c>
      <c r="Q26" s="14">
        <f t="shared" si="7"/>
        <v>0</v>
      </c>
      <c r="R26" s="14">
        <f t="shared" si="8"/>
        <v>0</v>
      </c>
      <c r="S26" s="14">
        <f t="shared" si="9"/>
        <v>0</v>
      </c>
      <c r="T26" s="14">
        <f t="shared" si="10"/>
        <v>0</v>
      </c>
      <c r="U26" s="14">
        <f t="shared" si="11"/>
        <v>0</v>
      </c>
      <c r="V26" s="14">
        <f t="shared" si="12"/>
        <v>0</v>
      </c>
      <c r="W26" s="14">
        <f t="shared" si="13"/>
        <v>0</v>
      </c>
      <c r="X26" s="14">
        <f t="shared" si="14"/>
        <v>0</v>
      </c>
      <c r="Y26" s="11"/>
      <c r="Z26" s="11"/>
      <c r="AA26" s="11"/>
      <c r="AB26" s="11"/>
      <c r="AC26" s="11"/>
      <c r="AD26" s="11"/>
      <c r="AE26" s="11"/>
      <c r="AF26" s="11"/>
    </row>
    <row r="27" spans="1:32" ht="15.75" x14ac:dyDescent="0.25">
      <c r="A27" s="21" t="s">
        <v>20</v>
      </c>
      <c r="B27" s="6">
        <v>26</v>
      </c>
      <c r="C27" s="6">
        <v>0</v>
      </c>
      <c r="D27" s="6">
        <v>0</v>
      </c>
      <c r="E27" s="6">
        <v>0</v>
      </c>
      <c r="F27" s="6">
        <v>1</v>
      </c>
      <c r="G27" s="3">
        <v>97</v>
      </c>
      <c r="H27" s="7">
        <v>1</v>
      </c>
      <c r="I27" s="7">
        <v>0</v>
      </c>
      <c r="J27" s="9">
        <f t="shared" si="0"/>
        <v>1</v>
      </c>
      <c r="K27" s="9">
        <f t="shared" si="1"/>
        <v>0</v>
      </c>
      <c r="L27" s="9">
        <f t="shared" si="2"/>
        <v>1</v>
      </c>
      <c r="M27" s="9">
        <f t="shared" si="3"/>
        <v>0</v>
      </c>
      <c r="N27" s="9">
        <f t="shared" si="4"/>
        <v>0</v>
      </c>
      <c r="O27" s="9">
        <f t="shared" si="5"/>
        <v>0</v>
      </c>
      <c r="P27" s="9">
        <f t="shared" si="6"/>
        <v>1</v>
      </c>
      <c r="Q27" s="14">
        <f t="shared" si="7"/>
        <v>0</v>
      </c>
      <c r="R27" s="14">
        <f t="shared" si="8"/>
        <v>0</v>
      </c>
      <c r="S27" s="14">
        <f t="shared" si="9"/>
        <v>0</v>
      </c>
      <c r="T27" s="14">
        <f t="shared" si="10"/>
        <v>0</v>
      </c>
      <c r="U27" s="14">
        <f t="shared" si="11"/>
        <v>0</v>
      </c>
      <c r="V27" s="14">
        <f t="shared" si="12"/>
        <v>0</v>
      </c>
      <c r="W27" s="14">
        <f t="shared" si="13"/>
        <v>97</v>
      </c>
      <c r="X27" s="14">
        <f t="shared" si="14"/>
        <v>0</v>
      </c>
      <c r="Y27" s="11"/>
      <c r="Z27" s="11"/>
      <c r="AA27" s="11"/>
      <c r="AB27" s="11"/>
      <c r="AC27" s="11"/>
      <c r="AD27" s="11"/>
      <c r="AE27" s="11"/>
      <c r="AF27" s="11"/>
    </row>
    <row r="28" spans="1:32" ht="15.75" x14ac:dyDescent="0.25">
      <c r="A28" s="21" t="s">
        <v>23</v>
      </c>
      <c r="B28" s="6">
        <v>27</v>
      </c>
      <c r="C28" s="6">
        <v>0</v>
      </c>
      <c r="D28" s="6">
        <v>0</v>
      </c>
      <c r="E28" s="6">
        <v>0</v>
      </c>
      <c r="F28" s="6">
        <v>1</v>
      </c>
      <c r="G28" s="3">
        <v>62</v>
      </c>
      <c r="H28" s="7">
        <v>0</v>
      </c>
      <c r="I28" s="7">
        <v>0</v>
      </c>
      <c r="J28" s="9">
        <f t="shared" si="0"/>
        <v>0</v>
      </c>
      <c r="K28" s="9">
        <f t="shared" si="1"/>
        <v>0</v>
      </c>
      <c r="L28" s="9">
        <f t="shared" si="2"/>
        <v>0</v>
      </c>
      <c r="M28" s="9">
        <f t="shared" si="3"/>
        <v>0</v>
      </c>
      <c r="N28" s="9">
        <f t="shared" si="4"/>
        <v>0</v>
      </c>
      <c r="O28" s="9">
        <f t="shared" si="5"/>
        <v>0</v>
      </c>
      <c r="P28" s="9">
        <f t="shared" si="6"/>
        <v>0</v>
      </c>
      <c r="Q28" s="14">
        <f t="shared" si="7"/>
        <v>0</v>
      </c>
      <c r="R28" s="14">
        <f t="shared" si="8"/>
        <v>0</v>
      </c>
      <c r="S28" s="14">
        <f t="shared" si="9"/>
        <v>0</v>
      </c>
      <c r="T28" s="14">
        <f t="shared" si="10"/>
        <v>0</v>
      </c>
      <c r="U28" s="14">
        <f t="shared" si="11"/>
        <v>0</v>
      </c>
      <c r="V28" s="14">
        <f t="shared" si="12"/>
        <v>0</v>
      </c>
      <c r="W28" s="14">
        <f t="shared" si="13"/>
        <v>0</v>
      </c>
      <c r="X28" s="14">
        <f t="shared" si="14"/>
        <v>0</v>
      </c>
      <c r="Y28" s="11"/>
      <c r="Z28" s="11"/>
      <c r="AA28" s="11"/>
      <c r="AB28" s="11"/>
      <c r="AC28" s="11"/>
      <c r="AD28" s="11"/>
      <c r="AE28" s="11"/>
      <c r="AF28" s="11"/>
    </row>
    <row r="29" spans="1:32" ht="15.75" x14ac:dyDescent="0.25">
      <c r="A29" s="21" t="s">
        <v>38</v>
      </c>
      <c r="B29" s="6">
        <v>28</v>
      </c>
      <c r="C29" s="6">
        <v>0</v>
      </c>
      <c r="D29" s="6">
        <v>0</v>
      </c>
      <c r="E29" s="6">
        <v>0</v>
      </c>
      <c r="F29" s="6">
        <v>1</v>
      </c>
      <c r="G29" s="3">
        <v>95</v>
      </c>
      <c r="H29" s="7">
        <v>0</v>
      </c>
      <c r="I29" s="7">
        <v>0</v>
      </c>
      <c r="J29" s="9">
        <f t="shared" si="0"/>
        <v>0</v>
      </c>
      <c r="K29" s="9">
        <f t="shared" si="1"/>
        <v>0</v>
      </c>
      <c r="L29" s="9">
        <f t="shared" si="2"/>
        <v>0</v>
      </c>
      <c r="M29" s="9">
        <f t="shared" si="3"/>
        <v>0</v>
      </c>
      <c r="N29" s="9">
        <f t="shared" si="4"/>
        <v>0</v>
      </c>
      <c r="O29" s="9">
        <f t="shared" si="5"/>
        <v>0</v>
      </c>
      <c r="P29" s="9">
        <f t="shared" si="6"/>
        <v>0</v>
      </c>
      <c r="Q29" s="14">
        <f t="shared" si="7"/>
        <v>0</v>
      </c>
      <c r="R29" s="14">
        <f t="shared" si="8"/>
        <v>0</v>
      </c>
      <c r="S29" s="14">
        <f t="shared" si="9"/>
        <v>0</v>
      </c>
      <c r="T29" s="14">
        <f t="shared" si="10"/>
        <v>0</v>
      </c>
      <c r="U29" s="14">
        <f t="shared" si="11"/>
        <v>0</v>
      </c>
      <c r="V29" s="14">
        <f t="shared" si="12"/>
        <v>0</v>
      </c>
      <c r="W29" s="14">
        <f t="shared" si="13"/>
        <v>0</v>
      </c>
      <c r="X29" s="14">
        <f t="shared" si="14"/>
        <v>0</v>
      </c>
      <c r="Y29" s="11"/>
      <c r="Z29" s="11"/>
      <c r="AA29" s="11"/>
      <c r="AB29" s="11"/>
      <c r="AC29" s="11"/>
      <c r="AD29" s="11"/>
      <c r="AE29" s="11"/>
      <c r="AF29" s="11"/>
    </row>
    <row r="30" spans="1:32" ht="15.75" x14ac:dyDescent="0.25">
      <c r="A30" s="21" t="s">
        <v>6</v>
      </c>
      <c r="B30" s="6">
        <v>29</v>
      </c>
      <c r="C30" s="6">
        <v>0</v>
      </c>
      <c r="D30" s="6">
        <v>0</v>
      </c>
      <c r="E30" s="6">
        <v>0</v>
      </c>
      <c r="F30" s="6">
        <v>1</v>
      </c>
      <c r="G30" s="3">
        <v>89</v>
      </c>
      <c r="H30" s="7">
        <v>0</v>
      </c>
      <c r="I30" s="7">
        <v>0</v>
      </c>
      <c r="J30" s="9">
        <f t="shared" si="0"/>
        <v>0</v>
      </c>
      <c r="K30" s="9">
        <f t="shared" si="1"/>
        <v>0</v>
      </c>
      <c r="L30" s="9">
        <f t="shared" si="2"/>
        <v>0</v>
      </c>
      <c r="M30" s="9">
        <f t="shared" si="3"/>
        <v>0</v>
      </c>
      <c r="N30" s="9">
        <f t="shared" si="4"/>
        <v>0</v>
      </c>
      <c r="O30" s="9">
        <f t="shared" si="5"/>
        <v>0</v>
      </c>
      <c r="P30" s="9">
        <f t="shared" si="6"/>
        <v>0</v>
      </c>
      <c r="Q30" s="14">
        <f t="shared" si="7"/>
        <v>0</v>
      </c>
      <c r="R30" s="14">
        <f t="shared" si="8"/>
        <v>0</v>
      </c>
      <c r="S30" s="14">
        <f t="shared" si="9"/>
        <v>0</v>
      </c>
      <c r="T30" s="14">
        <f t="shared" si="10"/>
        <v>0</v>
      </c>
      <c r="U30" s="14">
        <f t="shared" si="11"/>
        <v>0</v>
      </c>
      <c r="V30" s="14">
        <f t="shared" si="12"/>
        <v>0</v>
      </c>
      <c r="W30" s="14">
        <f t="shared" si="13"/>
        <v>0</v>
      </c>
      <c r="X30" s="14">
        <f t="shared" si="14"/>
        <v>0</v>
      </c>
      <c r="Y30" s="11"/>
      <c r="Z30" s="11"/>
      <c r="AA30" s="11"/>
      <c r="AB30" s="11"/>
      <c r="AC30" s="11"/>
      <c r="AD30" s="11"/>
      <c r="AE30" s="11"/>
      <c r="AF30" s="11"/>
    </row>
    <row r="31" spans="1:32" ht="15.75" x14ac:dyDescent="0.25">
      <c r="A31" s="21" t="s">
        <v>22</v>
      </c>
      <c r="B31" s="6">
        <v>30</v>
      </c>
      <c r="C31" s="6">
        <v>0</v>
      </c>
      <c r="D31" s="6">
        <v>0</v>
      </c>
      <c r="E31" s="6">
        <v>0</v>
      </c>
      <c r="F31" s="6">
        <v>1</v>
      </c>
      <c r="G31" s="3">
        <v>101</v>
      </c>
      <c r="H31" s="7">
        <v>1</v>
      </c>
      <c r="I31" s="7">
        <v>0</v>
      </c>
      <c r="J31" s="9">
        <f t="shared" si="0"/>
        <v>1</v>
      </c>
      <c r="K31" s="9">
        <f t="shared" si="1"/>
        <v>0</v>
      </c>
      <c r="L31" s="9">
        <f t="shared" si="2"/>
        <v>1</v>
      </c>
      <c r="M31" s="9">
        <f t="shared" si="3"/>
        <v>0</v>
      </c>
      <c r="N31" s="9">
        <f t="shared" si="4"/>
        <v>0</v>
      </c>
      <c r="O31" s="9">
        <f t="shared" si="5"/>
        <v>0</v>
      </c>
      <c r="P31" s="9">
        <f t="shared" si="6"/>
        <v>1</v>
      </c>
      <c r="Q31" s="14">
        <f t="shared" si="7"/>
        <v>0</v>
      </c>
      <c r="R31" s="14">
        <f t="shared" si="8"/>
        <v>0</v>
      </c>
      <c r="S31" s="14">
        <f t="shared" si="9"/>
        <v>0</v>
      </c>
      <c r="T31" s="14">
        <f t="shared" si="10"/>
        <v>0</v>
      </c>
      <c r="U31" s="14">
        <f t="shared" si="11"/>
        <v>0</v>
      </c>
      <c r="V31" s="14">
        <f t="shared" si="12"/>
        <v>0</v>
      </c>
      <c r="W31" s="14">
        <f t="shared" si="13"/>
        <v>101</v>
      </c>
      <c r="X31" s="14">
        <f t="shared" si="14"/>
        <v>0</v>
      </c>
      <c r="Y31" s="11"/>
      <c r="Z31" s="11"/>
      <c r="AA31" s="11"/>
      <c r="AB31" s="11"/>
      <c r="AC31" s="11"/>
      <c r="AD31" s="11"/>
      <c r="AE31" s="11"/>
      <c r="AF31" s="11"/>
    </row>
    <row r="32" spans="1:32" ht="15.75" x14ac:dyDescent="0.25">
      <c r="A32" s="2"/>
      <c r="B32" s="2"/>
      <c r="C32" s="2"/>
      <c r="D32" s="2"/>
      <c r="E32" s="2"/>
      <c r="F32" s="1"/>
    </row>
    <row r="33" spans="1:22" ht="15.75" x14ac:dyDescent="0.25">
      <c r="A33" s="2" t="s">
        <v>45</v>
      </c>
      <c r="B33" s="2"/>
      <c r="C33" s="2"/>
      <c r="D33" s="2"/>
      <c r="E33" s="2"/>
      <c r="F33" s="1"/>
      <c r="H33">
        <f>SUM(H2:H31)</f>
        <v>14</v>
      </c>
      <c r="I33">
        <f>SUM(I2:I31)</f>
        <v>2</v>
      </c>
      <c r="K33">
        <f>SUM(K2:K31)</f>
        <v>8</v>
      </c>
      <c r="L33">
        <f>SUM(L2:L31)</f>
        <v>8</v>
      </c>
      <c r="N33" s="6"/>
      <c r="O33" t="s">
        <v>74</v>
      </c>
      <c r="U33" s="17"/>
      <c r="V33" t="s">
        <v>60</v>
      </c>
    </row>
    <row r="34" spans="1:22" ht="15.75" x14ac:dyDescent="0.25">
      <c r="A34" s="2"/>
      <c r="B34" s="2"/>
      <c r="C34" s="2"/>
      <c r="D34" s="2"/>
      <c r="E34" s="2"/>
      <c r="F34" s="1"/>
      <c r="N34" s="9"/>
      <c r="O34" t="s">
        <v>75</v>
      </c>
      <c r="U34" s="15"/>
      <c r="V34" t="s">
        <v>59</v>
      </c>
    </row>
    <row r="35" spans="1:22" ht="15.75" x14ac:dyDescent="0.25">
      <c r="A35" s="2" t="s">
        <v>36</v>
      </c>
      <c r="B35" s="2"/>
      <c r="C35" s="2"/>
      <c r="D35" s="2"/>
      <c r="E35" s="2"/>
      <c r="F35" s="1"/>
      <c r="N35" s="7"/>
      <c r="O35" t="s">
        <v>76</v>
      </c>
      <c r="U35" s="12"/>
      <c r="V35" t="s">
        <v>61</v>
      </c>
    </row>
    <row r="36" spans="1:22" ht="15.75" x14ac:dyDescent="0.25">
      <c r="A36" s="1" t="s">
        <v>35</v>
      </c>
      <c r="B36">
        <f>SUMPRODUCT(G2:G31,H2:H31)</f>
        <v>1443</v>
      </c>
      <c r="N36" s="3"/>
      <c r="O36" t="s">
        <v>77</v>
      </c>
      <c r="U36" s="14"/>
      <c r="V36" t="s">
        <v>62</v>
      </c>
    </row>
    <row r="37" spans="1:22" ht="15.75" x14ac:dyDescent="0.25">
      <c r="A37" s="1" t="s">
        <v>34</v>
      </c>
      <c r="B37">
        <f>SUMPRODUCT(G2:G31,I2:I31)</f>
        <v>208</v>
      </c>
    </row>
    <row r="39" spans="1:22" ht="15.75" x14ac:dyDescent="0.25">
      <c r="A39" s="1" t="s">
        <v>33</v>
      </c>
      <c r="B39">
        <f>B36+B37</f>
        <v>1651</v>
      </c>
    </row>
    <row r="41" spans="1:22" ht="15.75" x14ac:dyDescent="0.25">
      <c r="A41" s="1" t="s">
        <v>47</v>
      </c>
    </row>
    <row r="42" spans="1:22" x14ac:dyDescent="0.25">
      <c r="B42">
        <f>SUM(H2:H31) +SUM(I2:I31)</f>
        <v>16</v>
      </c>
      <c r="C42" t="s">
        <v>48</v>
      </c>
      <c r="D42">
        <v>16</v>
      </c>
    </row>
    <row r="43" spans="1:22" x14ac:dyDescent="0.25">
      <c r="C43" t="s">
        <v>49</v>
      </c>
      <c r="D43">
        <v>1</v>
      </c>
    </row>
    <row r="44" spans="1:22" x14ac:dyDescent="0.25">
      <c r="B44">
        <f>SUM(K2:K31)</f>
        <v>8</v>
      </c>
      <c r="C44" t="s">
        <v>49</v>
      </c>
      <c r="D44">
        <v>8</v>
      </c>
    </row>
    <row r="45" spans="1:22" x14ac:dyDescent="0.25">
      <c r="B45">
        <f>SUM(L2:L31)</f>
        <v>8</v>
      </c>
      <c r="C45" t="s">
        <v>49</v>
      </c>
      <c r="D45">
        <v>8</v>
      </c>
    </row>
    <row r="47" spans="1:22" x14ac:dyDescent="0.25">
      <c r="A47" t="s">
        <v>54</v>
      </c>
      <c r="B47">
        <f>SUM(M2:M31)</f>
        <v>4</v>
      </c>
      <c r="C47" t="s">
        <v>48</v>
      </c>
      <c r="D47">
        <f>SUM(N2:N31)</f>
        <v>4</v>
      </c>
    </row>
    <row r="48" spans="1:22" x14ac:dyDescent="0.25">
      <c r="A48" t="s">
        <v>55</v>
      </c>
      <c r="B48">
        <f>SUM(O2:O31)</f>
        <v>3</v>
      </c>
      <c r="C48" t="s">
        <v>48</v>
      </c>
      <c r="D48">
        <f>SUM(P2:P31)</f>
        <v>3</v>
      </c>
    </row>
    <row r="50" spans="1:4" x14ac:dyDescent="0.25">
      <c r="A50" t="s">
        <v>57</v>
      </c>
      <c r="B50">
        <f>B47</f>
        <v>4</v>
      </c>
      <c r="C50" t="s">
        <v>56</v>
      </c>
      <c r="D50">
        <f>B48</f>
        <v>3</v>
      </c>
    </row>
    <row r="51" spans="1:4" x14ac:dyDescent="0.25">
      <c r="B51" t="s">
        <v>58</v>
      </c>
    </row>
  </sheetData>
  <autoFilter ref="A1:X31">
    <sortState ref="A2:X31">
      <sortCondition ref="B1:B31"/>
    </sortState>
  </autoFilter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51"/>
  <sheetViews>
    <sheetView topLeftCell="A27" workbookViewId="0">
      <selection activeCell="L16" sqref="L16"/>
    </sheetView>
  </sheetViews>
  <sheetFormatPr defaultRowHeight="15" x14ac:dyDescent="0.25"/>
  <cols>
    <col min="1" max="1" width="21" bestFit="1" customWidth="1"/>
    <col min="25" max="25" width="7.28515625" customWidth="1"/>
    <col min="26" max="26" width="6.7109375" customWidth="1"/>
    <col min="27" max="27" width="6.5703125" customWidth="1"/>
  </cols>
  <sheetData>
    <row r="1" spans="1:32" ht="47.25" x14ac:dyDescent="0.25">
      <c r="A1" s="4" t="s">
        <v>25</v>
      </c>
      <c r="B1" s="4" t="s">
        <v>37</v>
      </c>
      <c r="C1" s="4" t="s">
        <v>28</v>
      </c>
      <c r="D1" s="4" t="s">
        <v>29</v>
      </c>
      <c r="E1" s="4" t="s">
        <v>30</v>
      </c>
      <c r="F1" s="4" t="s">
        <v>31</v>
      </c>
      <c r="G1" s="5" t="s">
        <v>32</v>
      </c>
      <c r="H1" s="5" t="s">
        <v>26</v>
      </c>
      <c r="I1" s="5" t="s">
        <v>27</v>
      </c>
      <c r="J1" s="13" t="s">
        <v>46</v>
      </c>
      <c r="K1" s="13" t="s">
        <v>43</v>
      </c>
      <c r="L1" s="13" t="s">
        <v>44</v>
      </c>
      <c r="M1" s="8" t="s">
        <v>51</v>
      </c>
      <c r="N1" s="8" t="s">
        <v>50</v>
      </c>
      <c r="O1" s="8" t="s">
        <v>52</v>
      </c>
      <c r="P1" s="8" t="s">
        <v>53</v>
      </c>
      <c r="Q1" s="8" t="s">
        <v>66</v>
      </c>
      <c r="R1" s="8" t="s">
        <v>67</v>
      </c>
      <c r="S1" s="8" t="s">
        <v>68</v>
      </c>
      <c r="T1" s="8" t="s">
        <v>69</v>
      </c>
      <c r="U1" s="8" t="s">
        <v>70</v>
      </c>
      <c r="V1" s="8" t="s">
        <v>71</v>
      </c>
      <c r="W1" s="8" t="s">
        <v>72</v>
      </c>
      <c r="X1" s="8" t="s">
        <v>73</v>
      </c>
      <c r="Y1" s="8"/>
      <c r="Z1" s="8"/>
      <c r="AA1" s="8"/>
      <c r="AB1" s="8"/>
    </row>
    <row r="2" spans="1:32" ht="15.75" x14ac:dyDescent="0.25">
      <c r="A2" s="18" t="s">
        <v>16</v>
      </c>
      <c r="B2" s="6">
        <v>1</v>
      </c>
      <c r="C2" s="6">
        <v>1</v>
      </c>
      <c r="D2" s="6">
        <v>0</v>
      </c>
      <c r="E2" s="6">
        <v>0</v>
      </c>
      <c r="F2" s="6">
        <v>0</v>
      </c>
      <c r="G2" s="3">
        <v>86</v>
      </c>
      <c r="H2" s="7">
        <v>0</v>
      </c>
      <c r="I2" s="7">
        <v>0</v>
      </c>
      <c r="J2" s="9">
        <f t="shared" ref="J2:J31" si="0">H2+I2</f>
        <v>0</v>
      </c>
      <c r="K2" s="9">
        <f t="shared" ref="K2:K31" si="1">(C2+D2)*(H2+I2)</f>
        <v>0</v>
      </c>
      <c r="L2" s="9">
        <f t="shared" ref="L2:L31" si="2">(E2+F2)*(H2+I2)</f>
        <v>0</v>
      </c>
      <c r="M2" s="9">
        <f t="shared" ref="M2:M31" si="3">C2*H2</f>
        <v>0</v>
      </c>
      <c r="N2" s="9">
        <f t="shared" ref="N2:N31" si="4">D2*H2</f>
        <v>0</v>
      </c>
      <c r="O2" s="9">
        <f t="shared" ref="O2:O31" si="5">E2*H2</f>
        <v>0</v>
      </c>
      <c r="P2" s="9">
        <f t="shared" ref="P2:P31" si="6">F2*H2</f>
        <v>0</v>
      </c>
      <c r="Q2" s="17">
        <f t="shared" ref="Q2:Q31" si="7">H2*G2*C2</f>
        <v>0</v>
      </c>
      <c r="R2" s="17">
        <f t="shared" ref="R2:R31" si="8">I2*G2*C2</f>
        <v>0</v>
      </c>
      <c r="S2" s="17">
        <f t="shared" ref="S2:S31" si="9">H2*G2*D2</f>
        <v>0</v>
      </c>
      <c r="T2" s="17">
        <f t="shared" ref="T2:T31" si="10">I2*G2*D2</f>
        <v>0</v>
      </c>
      <c r="U2" s="17">
        <f t="shared" ref="U2:U31" si="11">H2*G2*E2</f>
        <v>0</v>
      </c>
      <c r="V2" s="17">
        <f t="shared" ref="V2:V31" si="12">I2*G2*E2</f>
        <v>0</v>
      </c>
      <c r="W2" s="17">
        <f t="shared" ref="W2:W31" si="13">H2*G2*F2</f>
        <v>0</v>
      </c>
      <c r="X2" s="17">
        <f t="shared" ref="X2:X31" si="14">I2*G2*F2</f>
        <v>0</v>
      </c>
      <c r="Y2" s="11"/>
      <c r="Z2" s="11"/>
      <c r="AA2" s="11"/>
      <c r="AB2" s="11"/>
      <c r="AC2" s="11"/>
      <c r="AD2" s="11"/>
      <c r="AE2" s="11"/>
      <c r="AF2" s="11"/>
    </row>
    <row r="3" spans="1:32" ht="14.25" customHeight="1" x14ac:dyDescent="0.25">
      <c r="A3" s="18" t="s">
        <v>21</v>
      </c>
      <c r="B3" s="6">
        <v>2</v>
      </c>
      <c r="C3" s="6">
        <v>1</v>
      </c>
      <c r="D3" s="6">
        <v>0</v>
      </c>
      <c r="E3" s="6">
        <v>0</v>
      </c>
      <c r="F3" s="6">
        <v>0</v>
      </c>
      <c r="G3" s="3">
        <v>76</v>
      </c>
      <c r="H3" s="7">
        <v>0</v>
      </c>
      <c r="I3" s="7">
        <v>0</v>
      </c>
      <c r="J3" s="9">
        <f t="shared" si="0"/>
        <v>0</v>
      </c>
      <c r="K3" s="9">
        <f t="shared" si="1"/>
        <v>0</v>
      </c>
      <c r="L3" s="9">
        <f t="shared" si="2"/>
        <v>0</v>
      </c>
      <c r="M3" s="9">
        <f t="shared" si="3"/>
        <v>0</v>
      </c>
      <c r="N3" s="9">
        <f t="shared" si="4"/>
        <v>0</v>
      </c>
      <c r="O3" s="9">
        <f t="shared" si="5"/>
        <v>0</v>
      </c>
      <c r="P3" s="9">
        <f t="shared" si="6"/>
        <v>0</v>
      </c>
      <c r="Q3" s="17">
        <f t="shared" si="7"/>
        <v>0</v>
      </c>
      <c r="R3" s="17">
        <f t="shared" si="8"/>
        <v>0</v>
      </c>
      <c r="S3" s="17">
        <f t="shared" si="9"/>
        <v>0</v>
      </c>
      <c r="T3" s="17">
        <f t="shared" si="10"/>
        <v>0</v>
      </c>
      <c r="U3" s="17">
        <f t="shared" si="11"/>
        <v>0</v>
      </c>
      <c r="V3" s="17">
        <f t="shared" si="12"/>
        <v>0</v>
      </c>
      <c r="W3" s="17">
        <f t="shared" si="13"/>
        <v>0</v>
      </c>
      <c r="X3" s="17">
        <f t="shared" si="14"/>
        <v>0</v>
      </c>
      <c r="Y3" s="11"/>
      <c r="Z3" s="11"/>
      <c r="AA3" s="11"/>
      <c r="AB3" s="11"/>
      <c r="AC3" s="11"/>
      <c r="AD3" s="11"/>
      <c r="AE3" s="11"/>
      <c r="AF3" s="11"/>
    </row>
    <row r="4" spans="1:32" ht="15.75" x14ac:dyDescent="0.25">
      <c r="A4" s="18" t="s">
        <v>39</v>
      </c>
      <c r="B4" s="6">
        <v>3</v>
      </c>
      <c r="C4" s="6">
        <v>1</v>
      </c>
      <c r="D4" s="6">
        <v>0</v>
      </c>
      <c r="E4" s="6">
        <v>0</v>
      </c>
      <c r="F4" s="6">
        <v>0</v>
      </c>
      <c r="G4" s="3">
        <v>84</v>
      </c>
      <c r="H4" s="7">
        <v>0</v>
      </c>
      <c r="I4" s="7">
        <v>0</v>
      </c>
      <c r="J4" s="9">
        <f t="shared" si="0"/>
        <v>0</v>
      </c>
      <c r="K4" s="9">
        <f t="shared" si="1"/>
        <v>0</v>
      </c>
      <c r="L4" s="9">
        <f t="shared" si="2"/>
        <v>0</v>
      </c>
      <c r="M4" s="9">
        <f t="shared" si="3"/>
        <v>0</v>
      </c>
      <c r="N4" s="9">
        <f t="shared" si="4"/>
        <v>0</v>
      </c>
      <c r="O4" s="9">
        <f t="shared" si="5"/>
        <v>0</v>
      </c>
      <c r="P4" s="9">
        <f t="shared" si="6"/>
        <v>0</v>
      </c>
      <c r="Q4" s="17">
        <f t="shared" si="7"/>
        <v>0</v>
      </c>
      <c r="R4" s="17">
        <f t="shared" si="8"/>
        <v>0</v>
      </c>
      <c r="S4" s="17">
        <f t="shared" si="9"/>
        <v>0</v>
      </c>
      <c r="T4" s="17">
        <f t="shared" si="10"/>
        <v>0</v>
      </c>
      <c r="U4" s="17">
        <f t="shared" si="11"/>
        <v>0</v>
      </c>
      <c r="V4" s="17">
        <f t="shared" si="12"/>
        <v>0</v>
      </c>
      <c r="W4" s="17">
        <f t="shared" si="13"/>
        <v>0</v>
      </c>
      <c r="X4" s="17">
        <f t="shared" si="14"/>
        <v>0</v>
      </c>
      <c r="Y4" s="11"/>
      <c r="Z4" s="11"/>
      <c r="AA4" s="11"/>
      <c r="AB4" s="11"/>
      <c r="AC4" s="11"/>
      <c r="AD4" s="11"/>
      <c r="AE4" s="11"/>
      <c r="AF4" s="11"/>
    </row>
    <row r="5" spans="1:32" ht="15.75" x14ac:dyDescent="0.25">
      <c r="A5" s="18" t="s">
        <v>40</v>
      </c>
      <c r="B5" s="6">
        <v>4</v>
      </c>
      <c r="C5" s="6">
        <v>1</v>
      </c>
      <c r="D5" s="6">
        <v>0</v>
      </c>
      <c r="E5" s="6">
        <v>0</v>
      </c>
      <c r="F5" s="6">
        <v>0</v>
      </c>
      <c r="G5" s="3">
        <v>100</v>
      </c>
      <c r="H5" s="7">
        <v>1</v>
      </c>
      <c r="I5" s="7">
        <v>0</v>
      </c>
      <c r="J5" s="9">
        <f t="shared" si="0"/>
        <v>1</v>
      </c>
      <c r="K5" s="9">
        <f t="shared" si="1"/>
        <v>1</v>
      </c>
      <c r="L5" s="9">
        <f t="shared" si="2"/>
        <v>0</v>
      </c>
      <c r="M5" s="9">
        <f t="shared" si="3"/>
        <v>1</v>
      </c>
      <c r="N5" s="9">
        <f t="shared" si="4"/>
        <v>0</v>
      </c>
      <c r="O5" s="9">
        <f t="shared" si="5"/>
        <v>0</v>
      </c>
      <c r="P5" s="9">
        <f t="shared" si="6"/>
        <v>0</v>
      </c>
      <c r="Q5" s="17">
        <f t="shared" si="7"/>
        <v>100</v>
      </c>
      <c r="R5" s="17">
        <f t="shared" si="8"/>
        <v>0</v>
      </c>
      <c r="S5" s="17">
        <f t="shared" si="9"/>
        <v>0</v>
      </c>
      <c r="T5" s="17">
        <f t="shared" si="10"/>
        <v>0</v>
      </c>
      <c r="U5" s="17">
        <f t="shared" si="11"/>
        <v>0</v>
      </c>
      <c r="V5" s="17">
        <f t="shared" si="12"/>
        <v>0</v>
      </c>
      <c r="W5" s="17">
        <f t="shared" si="13"/>
        <v>0</v>
      </c>
      <c r="X5" s="17">
        <f t="shared" si="14"/>
        <v>0</v>
      </c>
      <c r="Y5" s="11"/>
      <c r="Z5" s="11"/>
      <c r="AA5" s="11"/>
      <c r="AB5" s="11"/>
      <c r="AC5" s="11"/>
      <c r="AD5" s="11"/>
      <c r="AE5" s="11"/>
      <c r="AF5" s="11"/>
    </row>
    <row r="6" spans="1:32" ht="15.75" x14ac:dyDescent="0.25">
      <c r="A6" s="18" t="s">
        <v>41</v>
      </c>
      <c r="B6" s="6">
        <v>5</v>
      </c>
      <c r="C6" s="6">
        <v>1</v>
      </c>
      <c r="D6" s="6">
        <v>0</v>
      </c>
      <c r="E6" s="6">
        <v>0</v>
      </c>
      <c r="F6" s="6">
        <v>0</v>
      </c>
      <c r="G6" s="3">
        <v>101</v>
      </c>
      <c r="H6" s="7">
        <v>1</v>
      </c>
      <c r="I6" s="7">
        <v>0</v>
      </c>
      <c r="J6" s="9">
        <f t="shared" si="0"/>
        <v>1</v>
      </c>
      <c r="K6" s="9">
        <f t="shared" si="1"/>
        <v>1</v>
      </c>
      <c r="L6" s="9">
        <f t="shared" si="2"/>
        <v>0</v>
      </c>
      <c r="M6" s="9">
        <f t="shared" si="3"/>
        <v>1</v>
      </c>
      <c r="N6" s="9">
        <f t="shared" si="4"/>
        <v>0</v>
      </c>
      <c r="O6" s="9">
        <f t="shared" si="5"/>
        <v>0</v>
      </c>
      <c r="P6" s="9">
        <f t="shared" si="6"/>
        <v>0</v>
      </c>
      <c r="Q6" s="17">
        <f t="shared" si="7"/>
        <v>101</v>
      </c>
      <c r="R6" s="17">
        <f t="shared" si="8"/>
        <v>0</v>
      </c>
      <c r="S6" s="17">
        <f t="shared" si="9"/>
        <v>0</v>
      </c>
      <c r="T6" s="17">
        <f t="shared" si="10"/>
        <v>0</v>
      </c>
      <c r="U6" s="17">
        <f t="shared" si="11"/>
        <v>0</v>
      </c>
      <c r="V6" s="17">
        <f t="shared" si="12"/>
        <v>0</v>
      </c>
      <c r="W6" s="17">
        <f t="shared" si="13"/>
        <v>0</v>
      </c>
      <c r="X6" s="17">
        <f t="shared" si="14"/>
        <v>0</v>
      </c>
      <c r="Y6" s="11"/>
      <c r="Z6" s="11"/>
      <c r="AA6" s="11"/>
      <c r="AB6" s="11"/>
      <c r="AC6" s="11"/>
      <c r="AD6" s="11"/>
      <c r="AE6" s="11"/>
      <c r="AF6" s="11"/>
    </row>
    <row r="7" spans="1:32" ht="15.75" x14ac:dyDescent="0.25">
      <c r="A7" s="18" t="s">
        <v>9</v>
      </c>
      <c r="B7" s="6">
        <v>6</v>
      </c>
      <c r="C7" s="6">
        <v>1</v>
      </c>
      <c r="D7" s="6">
        <v>0</v>
      </c>
      <c r="E7" s="6">
        <v>0</v>
      </c>
      <c r="F7" s="6">
        <v>0</v>
      </c>
      <c r="G7" s="3">
        <v>96</v>
      </c>
      <c r="H7" s="7">
        <v>0</v>
      </c>
      <c r="I7" s="7">
        <v>1</v>
      </c>
      <c r="J7" s="9">
        <f t="shared" si="0"/>
        <v>1</v>
      </c>
      <c r="K7" s="9">
        <f t="shared" si="1"/>
        <v>1</v>
      </c>
      <c r="L7" s="9">
        <f t="shared" si="2"/>
        <v>0</v>
      </c>
      <c r="M7" s="9">
        <f t="shared" si="3"/>
        <v>0</v>
      </c>
      <c r="N7" s="9">
        <f t="shared" si="4"/>
        <v>0</v>
      </c>
      <c r="O7" s="9">
        <f t="shared" si="5"/>
        <v>0</v>
      </c>
      <c r="P7" s="9">
        <f t="shared" si="6"/>
        <v>0</v>
      </c>
      <c r="Q7" s="17">
        <f t="shared" si="7"/>
        <v>0</v>
      </c>
      <c r="R7" s="17">
        <f t="shared" si="8"/>
        <v>96</v>
      </c>
      <c r="S7" s="17">
        <f t="shared" si="9"/>
        <v>0</v>
      </c>
      <c r="T7" s="17">
        <f t="shared" si="10"/>
        <v>0</v>
      </c>
      <c r="U7" s="17">
        <f t="shared" si="11"/>
        <v>0</v>
      </c>
      <c r="V7" s="17">
        <f t="shared" si="12"/>
        <v>0</v>
      </c>
      <c r="W7" s="17">
        <f t="shared" si="13"/>
        <v>0</v>
      </c>
      <c r="X7" s="17">
        <f t="shared" si="14"/>
        <v>0</v>
      </c>
      <c r="Y7" s="11"/>
      <c r="Z7" s="11"/>
      <c r="AA7" s="11"/>
      <c r="AB7" s="11"/>
      <c r="AC7" s="11"/>
      <c r="AD7" s="11"/>
      <c r="AE7" s="11"/>
      <c r="AF7" s="11"/>
    </row>
    <row r="8" spans="1:32" ht="15.75" x14ac:dyDescent="0.25">
      <c r="A8" s="18" t="s">
        <v>42</v>
      </c>
      <c r="B8" s="6">
        <v>7</v>
      </c>
      <c r="C8" s="6">
        <v>1</v>
      </c>
      <c r="D8" s="6">
        <v>0</v>
      </c>
      <c r="E8" s="6">
        <v>0</v>
      </c>
      <c r="F8" s="6">
        <v>0</v>
      </c>
      <c r="G8" s="3">
        <v>104</v>
      </c>
      <c r="H8" s="7">
        <v>0</v>
      </c>
      <c r="I8" s="7">
        <v>1</v>
      </c>
      <c r="J8" s="9">
        <f t="shared" si="0"/>
        <v>1</v>
      </c>
      <c r="K8" s="9">
        <f t="shared" si="1"/>
        <v>1</v>
      </c>
      <c r="L8" s="9">
        <f t="shared" si="2"/>
        <v>0</v>
      </c>
      <c r="M8" s="9">
        <f t="shared" si="3"/>
        <v>0</v>
      </c>
      <c r="N8" s="9">
        <f t="shared" si="4"/>
        <v>0</v>
      </c>
      <c r="O8" s="9">
        <f t="shared" si="5"/>
        <v>0</v>
      </c>
      <c r="P8" s="9">
        <f t="shared" si="6"/>
        <v>0</v>
      </c>
      <c r="Q8" s="17">
        <f t="shared" si="7"/>
        <v>0</v>
      </c>
      <c r="R8" s="17">
        <f t="shared" si="8"/>
        <v>104</v>
      </c>
      <c r="S8" s="17">
        <f t="shared" si="9"/>
        <v>0</v>
      </c>
      <c r="T8" s="17">
        <f t="shared" si="10"/>
        <v>0</v>
      </c>
      <c r="U8" s="17">
        <f t="shared" si="11"/>
        <v>0</v>
      </c>
      <c r="V8" s="17">
        <f t="shared" si="12"/>
        <v>0</v>
      </c>
      <c r="W8" s="17">
        <f t="shared" si="13"/>
        <v>0</v>
      </c>
      <c r="X8" s="17">
        <f t="shared" si="14"/>
        <v>0</v>
      </c>
      <c r="Y8" s="11"/>
      <c r="Z8" s="11"/>
      <c r="AA8" s="11"/>
      <c r="AB8" s="11"/>
      <c r="AC8" s="11"/>
      <c r="AD8" s="11"/>
      <c r="AE8" s="11"/>
      <c r="AF8" s="11"/>
    </row>
    <row r="9" spans="1:32" ht="15.75" x14ac:dyDescent="0.25">
      <c r="A9" s="18" t="s">
        <v>0</v>
      </c>
      <c r="B9" s="6">
        <v>8</v>
      </c>
      <c r="C9" s="6">
        <v>1</v>
      </c>
      <c r="D9" s="6">
        <v>0</v>
      </c>
      <c r="E9" s="6">
        <v>0</v>
      </c>
      <c r="F9" s="6">
        <v>0</v>
      </c>
      <c r="G9" s="3">
        <v>120</v>
      </c>
      <c r="H9" s="7">
        <v>1</v>
      </c>
      <c r="I9" s="7">
        <v>0</v>
      </c>
      <c r="J9" s="9">
        <f t="shared" si="0"/>
        <v>1</v>
      </c>
      <c r="K9" s="9">
        <f t="shared" si="1"/>
        <v>1</v>
      </c>
      <c r="L9" s="9">
        <f t="shared" si="2"/>
        <v>0</v>
      </c>
      <c r="M9" s="9">
        <f t="shared" si="3"/>
        <v>1</v>
      </c>
      <c r="N9" s="9">
        <f t="shared" si="4"/>
        <v>0</v>
      </c>
      <c r="O9" s="9">
        <f t="shared" si="5"/>
        <v>0</v>
      </c>
      <c r="P9" s="9">
        <f t="shared" si="6"/>
        <v>0</v>
      </c>
      <c r="Q9" s="17">
        <f t="shared" si="7"/>
        <v>120</v>
      </c>
      <c r="R9" s="17">
        <f t="shared" si="8"/>
        <v>0</v>
      </c>
      <c r="S9" s="17">
        <f t="shared" si="9"/>
        <v>0</v>
      </c>
      <c r="T9" s="17">
        <f t="shared" si="10"/>
        <v>0</v>
      </c>
      <c r="U9" s="17">
        <f t="shared" si="11"/>
        <v>0</v>
      </c>
      <c r="V9" s="17">
        <f t="shared" si="12"/>
        <v>0</v>
      </c>
      <c r="W9" s="17">
        <f t="shared" si="13"/>
        <v>0</v>
      </c>
      <c r="X9" s="17">
        <f t="shared" si="14"/>
        <v>0</v>
      </c>
      <c r="Y9" s="11"/>
      <c r="Z9" s="11"/>
      <c r="AA9" s="11"/>
      <c r="AB9" s="11"/>
      <c r="AC9" s="11"/>
      <c r="AD9" s="11"/>
      <c r="AE9" s="11"/>
      <c r="AF9" s="11"/>
    </row>
    <row r="10" spans="1:32" ht="15" customHeight="1" x14ac:dyDescent="0.25">
      <c r="A10" s="19" t="s">
        <v>8</v>
      </c>
      <c r="B10" s="6">
        <v>9</v>
      </c>
      <c r="C10" s="6">
        <v>0</v>
      </c>
      <c r="D10" s="6">
        <v>1</v>
      </c>
      <c r="E10" s="6">
        <v>0</v>
      </c>
      <c r="F10" s="6">
        <v>0</v>
      </c>
      <c r="G10" s="3">
        <v>93</v>
      </c>
      <c r="H10" s="7">
        <v>0</v>
      </c>
      <c r="I10" s="7">
        <v>0</v>
      </c>
      <c r="J10" s="9">
        <f t="shared" si="0"/>
        <v>0</v>
      </c>
      <c r="K10" s="9">
        <f t="shared" si="1"/>
        <v>0</v>
      </c>
      <c r="L10" s="9">
        <f t="shared" si="2"/>
        <v>0</v>
      </c>
      <c r="M10" s="9">
        <f t="shared" si="3"/>
        <v>0</v>
      </c>
      <c r="N10" s="9">
        <f t="shared" si="4"/>
        <v>0</v>
      </c>
      <c r="O10" s="9">
        <f t="shared" si="5"/>
        <v>0</v>
      </c>
      <c r="P10" s="9">
        <f t="shared" si="6"/>
        <v>0</v>
      </c>
      <c r="Q10" s="15">
        <f t="shared" si="7"/>
        <v>0</v>
      </c>
      <c r="R10" s="15">
        <f t="shared" si="8"/>
        <v>0</v>
      </c>
      <c r="S10" s="15">
        <f t="shared" si="9"/>
        <v>0</v>
      </c>
      <c r="T10" s="15">
        <f t="shared" si="10"/>
        <v>0</v>
      </c>
      <c r="U10" s="15">
        <f t="shared" si="11"/>
        <v>0</v>
      </c>
      <c r="V10" s="15">
        <f t="shared" si="12"/>
        <v>0</v>
      </c>
      <c r="W10" s="15">
        <f t="shared" si="13"/>
        <v>0</v>
      </c>
      <c r="X10" s="15">
        <f t="shared" si="14"/>
        <v>0</v>
      </c>
      <c r="Y10" s="11"/>
      <c r="Z10" s="11"/>
      <c r="AA10" s="11"/>
      <c r="AB10" s="11"/>
      <c r="AC10" s="11"/>
      <c r="AD10" s="11"/>
      <c r="AE10" s="11"/>
      <c r="AF10" s="11"/>
    </row>
    <row r="11" spans="1:32" ht="15.75" x14ac:dyDescent="0.25">
      <c r="A11" s="19" t="s">
        <v>17</v>
      </c>
      <c r="B11" s="6">
        <v>10</v>
      </c>
      <c r="C11" s="6">
        <v>0</v>
      </c>
      <c r="D11" s="6">
        <v>1</v>
      </c>
      <c r="E11" s="6">
        <v>0</v>
      </c>
      <c r="F11" s="6">
        <v>0</v>
      </c>
      <c r="G11" s="3">
        <v>81</v>
      </c>
      <c r="H11" s="7">
        <v>0</v>
      </c>
      <c r="I11" s="7">
        <v>0</v>
      </c>
      <c r="J11" s="9">
        <f t="shared" si="0"/>
        <v>0</v>
      </c>
      <c r="K11" s="9">
        <f t="shared" si="1"/>
        <v>0</v>
      </c>
      <c r="L11" s="9">
        <f t="shared" si="2"/>
        <v>0</v>
      </c>
      <c r="M11" s="9">
        <f t="shared" si="3"/>
        <v>0</v>
      </c>
      <c r="N11" s="9">
        <f t="shared" si="4"/>
        <v>0</v>
      </c>
      <c r="O11" s="9">
        <f t="shared" si="5"/>
        <v>0</v>
      </c>
      <c r="P11" s="9">
        <f t="shared" si="6"/>
        <v>0</v>
      </c>
      <c r="Q11" s="15">
        <f t="shared" si="7"/>
        <v>0</v>
      </c>
      <c r="R11" s="15">
        <f t="shared" si="8"/>
        <v>0</v>
      </c>
      <c r="S11" s="15">
        <f t="shared" si="9"/>
        <v>0</v>
      </c>
      <c r="T11" s="15">
        <f t="shared" si="10"/>
        <v>0</v>
      </c>
      <c r="U11" s="15">
        <f t="shared" si="11"/>
        <v>0</v>
      </c>
      <c r="V11" s="15">
        <f t="shared" si="12"/>
        <v>0</v>
      </c>
      <c r="W11" s="15">
        <f t="shared" si="13"/>
        <v>0</v>
      </c>
      <c r="X11" s="15">
        <f t="shared" si="14"/>
        <v>0</v>
      </c>
      <c r="Y11" s="11"/>
      <c r="Z11" s="11"/>
      <c r="AA11" s="11"/>
      <c r="AB11" s="11"/>
      <c r="AC11" s="11"/>
      <c r="AD11" s="11"/>
      <c r="AE11" s="11"/>
      <c r="AF11" s="11"/>
    </row>
    <row r="12" spans="1:32" ht="15.75" x14ac:dyDescent="0.25">
      <c r="A12" s="19" t="s">
        <v>11</v>
      </c>
      <c r="B12" s="6">
        <v>11</v>
      </c>
      <c r="C12" s="6">
        <v>0</v>
      </c>
      <c r="D12" s="6">
        <v>1</v>
      </c>
      <c r="E12" s="6">
        <v>0</v>
      </c>
      <c r="F12" s="6">
        <v>0</v>
      </c>
      <c r="G12" s="3">
        <v>93</v>
      </c>
      <c r="H12" s="7">
        <v>1</v>
      </c>
      <c r="I12" s="7">
        <v>0</v>
      </c>
      <c r="J12" s="9">
        <f t="shared" si="0"/>
        <v>1</v>
      </c>
      <c r="K12" s="9">
        <f t="shared" si="1"/>
        <v>1</v>
      </c>
      <c r="L12" s="9">
        <f t="shared" si="2"/>
        <v>0</v>
      </c>
      <c r="M12" s="9">
        <f t="shared" si="3"/>
        <v>0</v>
      </c>
      <c r="N12" s="9">
        <f t="shared" si="4"/>
        <v>1</v>
      </c>
      <c r="O12" s="9">
        <f t="shared" si="5"/>
        <v>0</v>
      </c>
      <c r="P12" s="9">
        <f t="shared" si="6"/>
        <v>0</v>
      </c>
      <c r="Q12" s="15">
        <f t="shared" si="7"/>
        <v>0</v>
      </c>
      <c r="R12" s="15">
        <f t="shared" si="8"/>
        <v>0</v>
      </c>
      <c r="S12" s="15">
        <f t="shared" si="9"/>
        <v>93</v>
      </c>
      <c r="T12" s="15">
        <f t="shared" si="10"/>
        <v>0</v>
      </c>
      <c r="U12" s="15">
        <f t="shared" si="11"/>
        <v>0</v>
      </c>
      <c r="V12" s="15">
        <f t="shared" si="12"/>
        <v>0</v>
      </c>
      <c r="W12" s="15">
        <f t="shared" si="13"/>
        <v>0</v>
      </c>
      <c r="X12" s="15">
        <f t="shared" si="14"/>
        <v>0</v>
      </c>
      <c r="Y12" s="11"/>
      <c r="Z12" s="11"/>
      <c r="AA12" s="11"/>
      <c r="AB12" s="11"/>
      <c r="AC12" s="11"/>
      <c r="AD12" s="11"/>
      <c r="AE12" s="11"/>
      <c r="AF12" s="11"/>
    </row>
    <row r="13" spans="1:32" ht="15.75" x14ac:dyDescent="0.25">
      <c r="A13" s="19" t="s">
        <v>3</v>
      </c>
      <c r="B13" s="6">
        <v>12</v>
      </c>
      <c r="C13" s="6">
        <v>0</v>
      </c>
      <c r="D13" s="6">
        <v>1</v>
      </c>
      <c r="E13" s="6">
        <v>0</v>
      </c>
      <c r="F13" s="6">
        <v>0</v>
      </c>
      <c r="G13" s="3">
        <v>103</v>
      </c>
      <c r="H13" s="7">
        <v>1</v>
      </c>
      <c r="I13" s="7">
        <v>0</v>
      </c>
      <c r="J13" s="9">
        <f t="shared" si="0"/>
        <v>1</v>
      </c>
      <c r="K13" s="9">
        <f t="shared" si="1"/>
        <v>1</v>
      </c>
      <c r="L13" s="9">
        <f t="shared" si="2"/>
        <v>0</v>
      </c>
      <c r="M13" s="9">
        <f t="shared" si="3"/>
        <v>0</v>
      </c>
      <c r="N13" s="9">
        <f t="shared" si="4"/>
        <v>1</v>
      </c>
      <c r="O13" s="9">
        <f t="shared" si="5"/>
        <v>0</v>
      </c>
      <c r="P13" s="9">
        <f t="shared" si="6"/>
        <v>0</v>
      </c>
      <c r="Q13" s="15">
        <f t="shared" si="7"/>
        <v>0</v>
      </c>
      <c r="R13" s="15">
        <f t="shared" si="8"/>
        <v>0</v>
      </c>
      <c r="S13" s="15">
        <f t="shared" si="9"/>
        <v>103</v>
      </c>
      <c r="T13" s="15">
        <f t="shared" si="10"/>
        <v>0</v>
      </c>
      <c r="U13" s="15">
        <f t="shared" si="11"/>
        <v>0</v>
      </c>
      <c r="V13" s="15">
        <f t="shared" si="12"/>
        <v>0</v>
      </c>
      <c r="W13" s="15">
        <f t="shared" si="13"/>
        <v>0</v>
      </c>
      <c r="X13" s="15">
        <f t="shared" si="14"/>
        <v>0</v>
      </c>
      <c r="Y13" s="11"/>
      <c r="Z13" s="11"/>
      <c r="AA13" s="11"/>
      <c r="AB13" s="11"/>
      <c r="AC13" s="11"/>
      <c r="AD13" s="11"/>
      <c r="AE13" s="11"/>
      <c r="AF13" s="11"/>
    </row>
    <row r="14" spans="1:32" ht="15.75" x14ac:dyDescent="0.25">
      <c r="A14" s="19" t="s">
        <v>15</v>
      </c>
      <c r="B14" s="6">
        <v>13</v>
      </c>
      <c r="C14" s="6">
        <v>0</v>
      </c>
      <c r="D14" s="6">
        <v>1</v>
      </c>
      <c r="E14" s="6">
        <v>0</v>
      </c>
      <c r="F14" s="6">
        <v>0</v>
      </c>
      <c r="G14" s="3">
        <v>82</v>
      </c>
      <c r="H14" s="7">
        <v>0</v>
      </c>
      <c r="I14" s="7">
        <v>0</v>
      </c>
      <c r="J14" s="9">
        <f t="shared" si="0"/>
        <v>0</v>
      </c>
      <c r="K14" s="9">
        <f t="shared" si="1"/>
        <v>0</v>
      </c>
      <c r="L14" s="9">
        <f t="shared" si="2"/>
        <v>0</v>
      </c>
      <c r="M14" s="9">
        <f t="shared" si="3"/>
        <v>0</v>
      </c>
      <c r="N14" s="9">
        <f t="shared" si="4"/>
        <v>0</v>
      </c>
      <c r="O14" s="9">
        <f t="shared" si="5"/>
        <v>0</v>
      </c>
      <c r="P14" s="9">
        <f t="shared" si="6"/>
        <v>0</v>
      </c>
      <c r="Q14" s="15">
        <f t="shared" si="7"/>
        <v>0</v>
      </c>
      <c r="R14" s="15">
        <f t="shared" si="8"/>
        <v>0</v>
      </c>
      <c r="S14" s="15">
        <f t="shared" si="9"/>
        <v>0</v>
      </c>
      <c r="T14" s="15">
        <f t="shared" si="10"/>
        <v>0</v>
      </c>
      <c r="U14" s="15">
        <f t="shared" si="11"/>
        <v>0</v>
      </c>
      <c r="V14" s="15">
        <f t="shared" si="12"/>
        <v>0</v>
      </c>
      <c r="W14" s="15">
        <f t="shared" si="13"/>
        <v>0</v>
      </c>
      <c r="X14" s="15">
        <f t="shared" si="14"/>
        <v>0</v>
      </c>
      <c r="Y14" s="11"/>
      <c r="Z14" s="11"/>
      <c r="AA14" s="11"/>
      <c r="AB14" s="11"/>
      <c r="AC14" s="11"/>
      <c r="AD14" s="11"/>
      <c r="AE14" s="11"/>
      <c r="AF14" s="11"/>
    </row>
    <row r="15" spans="1:32" ht="15.75" x14ac:dyDescent="0.25">
      <c r="A15" s="19" t="s">
        <v>14</v>
      </c>
      <c r="B15" s="6">
        <v>14</v>
      </c>
      <c r="C15" s="6">
        <v>0</v>
      </c>
      <c r="D15" s="6">
        <v>1</v>
      </c>
      <c r="E15" s="6">
        <v>0</v>
      </c>
      <c r="F15" s="6">
        <v>0</v>
      </c>
      <c r="G15" s="3">
        <v>85</v>
      </c>
      <c r="H15" s="7">
        <v>0</v>
      </c>
      <c r="I15" s="7">
        <v>0</v>
      </c>
      <c r="J15" s="9">
        <f t="shared" si="0"/>
        <v>0</v>
      </c>
      <c r="K15" s="9">
        <f t="shared" si="1"/>
        <v>0</v>
      </c>
      <c r="L15" s="9">
        <f t="shared" si="2"/>
        <v>0</v>
      </c>
      <c r="M15" s="9">
        <f t="shared" si="3"/>
        <v>0</v>
      </c>
      <c r="N15" s="9">
        <f t="shared" si="4"/>
        <v>0</v>
      </c>
      <c r="O15" s="9">
        <f t="shared" si="5"/>
        <v>0</v>
      </c>
      <c r="P15" s="9">
        <f t="shared" si="6"/>
        <v>0</v>
      </c>
      <c r="Q15" s="15">
        <f t="shared" si="7"/>
        <v>0</v>
      </c>
      <c r="R15" s="15">
        <f t="shared" si="8"/>
        <v>0</v>
      </c>
      <c r="S15" s="15">
        <f t="shared" si="9"/>
        <v>0</v>
      </c>
      <c r="T15" s="15">
        <f t="shared" si="10"/>
        <v>0</v>
      </c>
      <c r="U15" s="15">
        <f t="shared" si="11"/>
        <v>0</v>
      </c>
      <c r="V15" s="15">
        <f t="shared" si="12"/>
        <v>0</v>
      </c>
      <c r="W15" s="15">
        <f t="shared" si="13"/>
        <v>0</v>
      </c>
      <c r="X15" s="15">
        <f t="shared" si="14"/>
        <v>0</v>
      </c>
      <c r="Y15" s="11"/>
      <c r="Z15" s="11"/>
      <c r="AA15" s="11"/>
      <c r="AB15" s="11"/>
      <c r="AC15" s="11"/>
      <c r="AD15" s="11"/>
      <c r="AE15" s="11"/>
      <c r="AF15" s="11"/>
    </row>
    <row r="16" spans="1:32" ht="15.75" x14ac:dyDescent="0.25">
      <c r="A16" s="19" t="s">
        <v>7</v>
      </c>
      <c r="B16" s="6">
        <v>15</v>
      </c>
      <c r="C16" s="6">
        <v>0</v>
      </c>
      <c r="D16" s="6">
        <v>1</v>
      </c>
      <c r="E16" s="6">
        <v>0</v>
      </c>
      <c r="F16" s="6">
        <v>0</v>
      </c>
      <c r="G16" s="3">
        <v>97</v>
      </c>
      <c r="H16" s="7">
        <v>1</v>
      </c>
      <c r="I16" s="7">
        <v>0</v>
      </c>
      <c r="J16" s="9">
        <f t="shared" si="0"/>
        <v>1</v>
      </c>
      <c r="K16" s="9">
        <f t="shared" si="1"/>
        <v>1</v>
      </c>
      <c r="L16" s="9">
        <f t="shared" si="2"/>
        <v>0</v>
      </c>
      <c r="M16" s="9">
        <f t="shared" si="3"/>
        <v>0</v>
      </c>
      <c r="N16" s="9">
        <f t="shared" si="4"/>
        <v>1</v>
      </c>
      <c r="O16" s="9">
        <f t="shared" si="5"/>
        <v>0</v>
      </c>
      <c r="P16" s="9">
        <f t="shared" si="6"/>
        <v>0</v>
      </c>
      <c r="Q16" s="15">
        <f t="shared" si="7"/>
        <v>0</v>
      </c>
      <c r="R16" s="15">
        <f t="shared" si="8"/>
        <v>0</v>
      </c>
      <c r="S16" s="15">
        <f t="shared" si="9"/>
        <v>97</v>
      </c>
      <c r="T16" s="15">
        <f t="shared" si="10"/>
        <v>0</v>
      </c>
      <c r="U16" s="15">
        <f t="shared" si="11"/>
        <v>0</v>
      </c>
      <c r="V16" s="15">
        <f t="shared" si="12"/>
        <v>0</v>
      </c>
      <c r="W16" s="15">
        <f t="shared" si="13"/>
        <v>0</v>
      </c>
      <c r="X16" s="15">
        <f t="shared" si="14"/>
        <v>0</v>
      </c>
      <c r="Y16" s="11"/>
      <c r="Z16" s="11"/>
      <c r="AA16" s="11"/>
      <c r="AB16" s="11"/>
      <c r="AC16" s="11"/>
      <c r="AD16" s="11"/>
      <c r="AE16" s="11"/>
      <c r="AF16" s="11"/>
    </row>
    <row r="17" spans="1:32" ht="15.75" x14ac:dyDescent="0.25">
      <c r="A17" s="19" t="s">
        <v>24</v>
      </c>
      <c r="B17" s="6">
        <v>16</v>
      </c>
      <c r="C17" s="6">
        <v>0</v>
      </c>
      <c r="D17" s="6">
        <v>1</v>
      </c>
      <c r="E17" s="6">
        <v>0</v>
      </c>
      <c r="F17" s="6">
        <v>0</v>
      </c>
      <c r="G17" s="3">
        <v>69</v>
      </c>
      <c r="H17" s="7">
        <v>0</v>
      </c>
      <c r="I17" s="7">
        <v>0</v>
      </c>
      <c r="J17" s="9">
        <f t="shared" si="0"/>
        <v>0</v>
      </c>
      <c r="K17" s="9">
        <f t="shared" si="1"/>
        <v>0</v>
      </c>
      <c r="L17" s="9">
        <f t="shared" si="2"/>
        <v>0</v>
      </c>
      <c r="M17" s="9">
        <f t="shared" si="3"/>
        <v>0</v>
      </c>
      <c r="N17" s="9">
        <f t="shared" si="4"/>
        <v>0</v>
      </c>
      <c r="O17" s="9">
        <f t="shared" si="5"/>
        <v>0</v>
      </c>
      <c r="P17" s="9">
        <f t="shared" si="6"/>
        <v>0</v>
      </c>
      <c r="Q17" s="15">
        <f t="shared" si="7"/>
        <v>0</v>
      </c>
      <c r="R17" s="15">
        <f t="shared" si="8"/>
        <v>0</v>
      </c>
      <c r="S17" s="15">
        <f t="shared" si="9"/>
        <v>0</v>
      </c>
      <c r="T17" s="15">
        <f t="shared" si="10"/>
        <v>0</v>
      </c>
      <c r="U17" s="15">
        <f t="shared" si="11"/>
        <v>0</v>
      </c>
      <c r="V17" s="15">
        <f t="shared" si="12"/>
        <v>0</v>
      </c>
      <c r="W17" s="15">
        <f t="shared" si="13"/>
        <v>0</v>
      </c>
      <c r="X17" s="15">
        <f t="shared" si="14"/>
        <v>0</v>
      </c>
      <c r="Y17" s="11"/>
      <c r="Z17" s="11"/>
      <c r="AA17" s="11"/>
      <c r="AB17" s="11"/>
      <c r="AC17" s="11"/>
      <c r="AD17" s="11"/>
      <c r="AE17" s="11"/>
      <c r="AF17" s="11"/>
    </row>
    <row r="18" spans="1:32" ht="15.75" x14ac:dyDescent="0.25">
      <c r="A18" s="20" t="s">
        <v>4</v>
      </c>
      <c r="B18" s="6">
        <v>17</v>
      </c>
      <c r="C18" s="6">
        <v>0</v>
      </c>
      <c r="D18" s="6">
        <v>0</v>
      </c>
      <c r="E18" s="6">
        <v>1</v>
      </c>
      <c r="F18" s="6">
        <v>0</v>
      </c>
      <c r="G18" s="3">
        <v>103</v>
      </c>
      <c r="H18" s="7">
        <v>1</v>
      </c>
      <c r="I18" s="7">
        <v>0</v>
      </c>
      <c r="J18" s="9">
        <f t="shared" si="0"/>
        <v>1</v>
      </c>
      <c r="K18" s="9">
        <f t="shared" si="1"/>
        <v>0</v>
      </c>
      <c r="L18" s="9">
        <f t="shared" si="2"/>
        <v>1</v>
      </c>
      <c r="M18" s="9">
        <f t="shared" si="3"/>
        <v>0</v>
      </c>
      <c r="N18" s="9">
        <f t="shared" si="4"/>
        <v>0</v>
      </c>
      <c r="O18" s="9">
        <f t="shared" si="5"/>
        <v>1</v>
      </c>
      <c r="P18" s="9">
        <f t="shared" si="6"/>
        <v>0</v>
      </c>
      <c r="Q18" s="16">
        <f t="shared" si="7"/>
        <v>0</v>
      </c>
      <c r="R18" s="16">
        <f t="shared" si="8"/>
        <v>0</v>
      </c>
      <c r="S18" s="16">
        <f t="shared" si="9"/>
        <v>0</v>
      </c>
      <c r="T18" s="16">
        <f t="shared" si="10"/>
        <v>0</v>
      </c>
      <c r="U18" s="16">
        <f t="shared" si="11"/>
        <v>103</v>
      </c>
      <c r="V18" s="16">
        <f t="shared" si="12"/>
        <v>0</v>
      </c>
      <c r="W18" s="16">
        <f t="shared" si="13"/>
        <v>0</v>
      </c>
      <c r="X18" s="16">
        <f t="shared" si="14"/>
        <v>0</v>
      </c>
      <c r="Y18" s="11"/>
      <c r="Z18" s="11"/>
      <c r="AA18" s="11"/>
      <c r="AB18" s="11"/>
      <c r="AC18" s="11"/>
      <c r="AD18" s="11"/>
      <c r="AE18" s="11"/>
      <c r="AF18" s="11"/>
    </row>
    <row r="19" spans="1:32" ht="15.75" x14ac:dyDescent="0.25">
      <c r="A19" s="20" t="s">
        <v>12</v>
      </c>
      <c r="B19" s="6">
        <v>18</v>
      </c>
      <c r="C19" s="6">
        <v>0</v>
      </c>
      <c r="D19" s="6">
        <v>0</v>
      </c>
      <c r="E19" s="6">
        <v>1</v>
      </c>
      <c r="F19" s="6">
        <v>0</v>
      </c>
      <c r="G19" s="3">
        <v>82</v>
      </c>
      <c r="H19" s="7">
        <v>0</v>
      </c>
      <c r="I19" s="7">
        <v>0</v>
      </c>
      <c r="J19" s="9">
        <f t="shared" si="0"/>
        <v>0</v>
      </c>
      <c r="K19" s="9">
        <f t="shared" si="1"/>
        <v>0</v>
      </c>
      <c r="L19" s="9">
        <f t="shared" si="2"/>
        <v>0</v>
      </c>
      <c r="M19" s="9">
        <f t="shared" si="3"/>
        <v>0</v>
      </c>
      <c r="N19" s="9">
        <f t="shared" si="4"/>
        <v>0</v>
      </c>
      <c r="O19" s="9">
        <f t="shared" si="5"/>
        <v>0</v>
      </c>
      <c r="P19" s="9">
        <f t="shared" si="6"/>
        <v>0</v>
      </c>
      <c r="Q19" s="16">
        <f t="shared" si="7"/>
        <v>0</v>
      </c>
      <c r="R19" s="16">
        <f t="shared" si="8"/>
        <v>0</v>
      </c>
      <c r="S19" s="16">
        <f t="shared" si="9"/>
        <v>0</v>
      </c>
      <c r="T19" s="16">
        <f t="shared" si="10"/>
        <v>0</v>
      </c>
      <c r="U19" s="16">
        <f t="shared" si="11"/>
        <v>0</v>
      </c>
      <c r="V19" s="16">
        <f t="shared" si="12"/>
        <v>0</v>
      </c>
      <c r="W19" s="16">
        <f t="shared" si="13"/>
        <v>0</v>
      </c>
      <c r="X19" s="16">
        <f t="shared" si="14"/>
        <v>0</v>
      </c>
      <c r="Y19" s="11"/>
      <c r="Z19" s="11"/>
      <c r="AA19" s="11"/>
      <c r="AB19" s="11"/>
      <c r="AC19" s="11"/>
      <c r="AD19" s="11"/>
      <c r="AE19" s="11"/>
      <c r="AF19" s="11"/>
    </row>
    <row r="20" spans="1:32" ht="15.75" x14ac:dyDescent="0.25">
      <c r="A20" s="20" t="s">
        <v>1</v>
      </c>
      <c r="B20" s="6">
        <v>19</v>
      </c>
      <c r="C20" s="6">
        <v>0</v>
      </c>
      <c r="D20" s="6">
        <v>0</v>
      </c>
      <c r="E20" s="6">
        <v>1</v>
      </c>
      <c r="F20" s="6">
        <v>0</v>
      </c>
      <c r="G20" s="3">
        <v>109</v>
      </c>
      <c r="H20" s="7">
        <v>1</v>
      </c>
      <c r="I20" s="7">
        <v>0</v>
      </c>
      <c r="J20" s="9">
        <f t="shared" si="0"/>
        <v>1</v>
      </c>
      <c r="K20" s="9">
        <f t="shared" si="1"/>
        <v>0</v>
      </c>
      <c r="L20" s="9">
        <f t="shared" si="2"/>
        <v>1</v>
      </c>
      <c r="M20" s="9">
        <f t="shared" si="3"/>
        <v>0</v>
      </c>
      <c r="N20" s="9">
        <f t="shared" si="4"/>
        <v>0</v>
      </c>
      <c r="O20" s="9">
        <f t="shared" si="5"/>
        <v>1</v>
      </c>
      <c r="P20" s="9">
        <f t="shared" si="6"/>
        <v>0</v>
      </c>
      <c r="Q20" s="16">
        <f t="shared" si="7"/>
        <v>0</v>
      </c>
      <c r="R20" s="16">
        <f t="shared" si="8"/>
        <v>0</v>
      </c>
      <c r="S20" s="16">
        <f t="shared" si="9"/>
        <v>0</v>
      </c>
      <c r="T20" s="16">
        <f t="shared" si="10"/>
        <v>0</v>
      </c>
      <c r="U20" s="16">
        <f t="shared" si="11"/>
        <v>109</v>
      </c>
      <c r="V20" s="16">
        <f t="shared" si="12"/>
        <v>0</v>
      </c>
      <c r="W20" s="16">
        <f t="shared" si="13"/>
        <v>0</v>
      </c>
      <c r="X20" s="16">
        <f t="shared" si="14"/>
        <v>0</v>
      </c>
      <c r="Y20" s="11"/>
      <c r="Z20" s="11"/>
      <c r="AA20" s="11"/>
      <c r="AB20" s="11"/>
      <c r="AC20" s="11"/>
      <c r="AD20" s="11"/>
      <c r="AE20" s="11"/>
      <c r="AF20" s="11"/>
    </row>
    <row r="21" spans="1:32" ht="15.75" x14ac:dyDescent="0.25">
      <c r="A21" s="20" t="s">
        <v>13</v>
      </c>
      <c r="B21" s="6">
        <v>20</v>
      </c>
      <c r="C21" s="6">
        <v>0</v>
      </c>
      <c r="D21" s="6">
        <v>0</v>
      </c>
      <c r="E21" s="6">
        <v>1</v>
      </c>
      <c r="F21" s="6">
        <v>0</v>
      </c>
      <c r="G21" s="3">
        <v>87</v>
      </c>
      <c r="H21" s="7">
        <v>1</v>
      </c>
      <c r="I21" s="7">
        <v>0</v>
      </c>
      <c r="J21" s="9">
        <f t="shared" si="0"/>
        <v>1</v>
      </c>
      <c r="K21" s="9">
        <f t="shared" si="1"/>
        <v>0</v>
      </c>
      <c r="L21" s="9">
        <f t="shared" si="2"/>
        <v>1</v>
      </c>
      <c r="M21" s="9">
        <f t="shared" si="3"/>
        <v>0</v>
      </c>
      <c r="N21" s="9">
        <f t="shared" si="4"/>
        <v>0</v>
      </c>
      <c r="O21" s="9">
        <f t="shared" si="5"/>
        <v>1</v>
      </c>
      <c r="P21" s="9">
        <f t="shared" si="6"/>
        <v>0</v>
      </c>
      <c r="Q21" s="16">
        <f t="shared" si="7"/>
        <v>0</v>
      </c>
      <c r="R21" s="16">
        <f t="shared" si="8"/>
        <v>0</v>
      </c>
      <c r="S21" s="16">
        <f t="shared" si="9"/>
        <v>0</v>
      </c>
      <c r="T21" s="16">
        <f t="shared" si="10"/>
        <v>0</v>
      </c>
      <c r="U21" s="16">
        <f t="shared" si="11"/>
        <v>87</v>
      </c>
      <c r="V21" s="16">
        <f t="shared" si="12"/>
        <v>0</v>
      </c>
      <c r="W21" s="16">
        <f t="shared" si="13"/>
        <v>0</v>
      </c>
      <c r="X21" s="16">
        <f t="shared" si="14"/>
        <v>0</v>
      </c>
      <c r="Y21" s="11"/>
      <c r="Z21" s="11"/>
      <c r="AA21" s="11"/>
      <c r="AB21" s="11"/>
      <c r="AC21" s="11"/>
      <c r="AD21" s="11"/>
      <c r="AE21" s="11"/>
      <c r="AF21" s="11"/>
    </row>
    <row r="22" spans="1:32" ht="15.75" x14ac:dyDescent="0.25">
      <c r="A22" s="20" t="s">
        <v>10</v>
      </c>
      <c r="B22" s="6">
        <v>21</v>
      </c>
      <c r="C22" s="6">
        <v>0</v>
      </c>
      <c r="D22" s="6">
        <v>0</v>
      </c>
      <c r="E22" s="6">
        <v>1</v>
      </c>
      <c r="F22" s="6">
        <v>0</v>
      </c>
      <c r="G22" s="3">
        <v>96</v>
      </c>
      <c r="H22" s="7">
        <v>0</v>
      </c>
      <c r="I22" s="7">
        <v>1</v>
      </c>
      <c r="J22" s="9">
        <f t="shared" si="0"/>
        <v>1</v>
      </c>
      <c r="K22" s="9">
        <f t="shared" si="1"/>
        <v>0</v>
      </c>
      <c r="L22" s="9">
        <f t="shared" si="2"/>
        <v>1</v>
      </c>
      <c r="M22" s="9">
        <f t="shared" si="3"/>
        <v>0</v>
      </c>
      <c r="N22" s="9">
        <f t="shared" si="4"/>
        <v>0</v>
      </c>
      <c r="O22" s="9">
        <f t="shared" si="5"/>
        <v>0</v>
      </c>
      <c r="P22" s="9">
        <f t="shared" si="6"/>
        <v>0</v>
      </c>
      <c r="Q22" s="16">
        <f t="shared" si="7"/>
        <v>0</v>
      </c>
      <c r="R22" s="16">
        <f t="shared" si="8"/>
        <v>0</v>
      </c>
      <c r="S22" s="16">
        <f t="shared" si="9"/>
        <v>0</v>
      </c>
      <c r="T22" s="16">
        <f t="shared" si="10"/>
        <v>0</v>
      </c>
      <c r="U22" s="16">
        <f t="shared" si="11"/>
        <v>0</v>
      </c>
      <c r="V22" s="16">
        <f t="shared" si="12"/>
        <v>96</v>
      </c>
      <c r="W22" s="16">
        <f t="shared" si="13"/>
        <v>0</v>
      </c>
      <c r="X22" s="16">
        <f t="shared" si="14"/>
        <v>0</v>
      </c>
      <c r="Y22" s="11"/>
      <c r="Z22" s="11"/>
      <c r="AA22" s="11"/>
      <c r="AB22" s="11"/>
      <c r="AC22" s="11"/>
      <c r="AD22" s="11"/>
      <c r="AE22" s="11"/>
      <c r="AF22" s="11"/>
    </row>
    <row r="23" spans="1:32" ht="15.75" x14ac:dyDescent="0.25">
      <c r="A23" s="20" t="s">
        <v>2</v>
      </c>
      <c r="B23" s="6">
        <v>22</v>
      </c>
      <c r="C23" s="6">
        <v>0</v>
      </c>
      <c r="D23" s="6">
        <v>0</v>
      </c>
      <c r="E23" s="6">
        <v>1</v>
      </c>
      <c r="F23" s="6">
        <v>0</v>
      </c>
      <c r="G23" s="3">
        <v>107</v>
      </c>
      <c r="H23" s="7">
        <v>0</v>
      </c>
      <c r="I23" s="7">
        <v>1</v>
      </c>
      <c r="J23" s="9">
        <f t="shared" si="0"/>
        <v>1</v>
      </c>
      <c r="K23" s="9">
        <f t="shared" si="1"/>
        <v>0</v>
      </c>
      <c r="L23" s="9">
        <f t="shared" si="2"/>
        <v>1</v>
      </c>
      <c r="M23" s="9">
        <f t="shared" si="3"/>
        <v>0</v>
      </c>
      <c r="N23" s="9">
        <f t="shared" si="4"/>
        <v>0</v>
      </c>
      <c r="O23" s="9">
        <f t="shared" si="5"/>
        <v>0</v>
      </c>
      <c r="P23" s="9">
        <f t="shared" si="6"/>
        <v>0</v>
      </c>
      <c r="Q23" s="16">
        <f t="shared" si="7"/>
        <v>0</v>
      </c>
      <c r="R23" s="16">
        <f t="shared" si="8"/>
        <v>0</v>
      </c>
      <c r="S23" s="16">
        <f t="shared" si="9"/>
        <v>0</v>
      </c>
      <c r="T23" s="16">
        <f t="shared" si="10"/>
        <v>0</v>
      </c>
      <c r="U23" s="16">
        <f t="shared" si="11"/>
        <v>0</v>
      </c>
      <c r="V23" s="16">
        <f t="shared" si="12"/>
        <v>107</v>
      </c>
      <c r="W23" s="16">
        <f t="shared" si="13"/>
        <v>0</v>
      </c>
      <c r="X23" s="16">
        <f t="shared" si="14"/>
        <v>0</v>
      </c>
      <c r="Y23" s="11"/>
      <c r="Z23" s="11"/>
      <c r="AA23" s="11"/>
      <c r="AB23" s="11"/>
      <c r="AC23" s="11"/>
      <c r="AD23" s="11"/>
      <c r="AE23" s="11"/>
      <c r="AF23" s="11"/>
    </row>
    <row r="24" spans="1:32" ht="15.75" x14ac:dyDescent="0.25">
      <c r="A24" s="20" t="s">
        <v>19</v>
      </c>
      <c r="B24" s="6">
        <v>23</v>
      </c>
      <c r="C24" s="6">
        <v>0</v>
      </c>
      <c r="D24" s="6">
        <v>0</v>
      </c>
      <c r="E24" s="6">
        <v>1</v>
      </c>
      <c r="F24" s="6">
        <v>0</v>
      </c>
      <c r="G24" s="3">
        <v>78</v>
      </c>
      <c r="H24" s="7">
        <v>0</v>
      </c>
      <c r="I24" s="7">
        <v>0</v>
      </c>
      <c r="J24" s="9">
        <f t="shared" si="0"/>
        <v>0</v>
      </c>
      <c r="K24" s="9">
        <f t="shared" si="1"/>
        <v>0</v>
      </c>
      <c r="L24" s="9">
        <f t="shared" si="2"/>
        <v>0</v>
      </c>
      <c r="M24" s="9">
        <f t="shared" si="3"/>
        <v>0</v>
      </c>
      <c r="N24" s="9">
        <f t="shared" si="4"/>
        <v>0</v>
      </c>
      <c r="O24" s="9">
        <f t="shared" si="5"/>
        <v>0</v>
      </c>
      <c r="P24" s="9">
        <f t="shared" si="6"/>
        <v>0</v>
      </c>
      <c r="Q24" s="16">
        <f t="shared" si="7"/>
        <v>0</v>
      </c>
      <c r="R24" s="16">
        <f t="shared" si="8"/>
        <v>0</v>
      </c>
      <c r="S24" s="16">
        <f t="shared" si="9"/>
        <v>0</v>
      </c>
      <c r="T24" s="16">
        <f t="shared" si="10"/>
        <v>0</v>
      </c>
      <c r="U24" s="16">
        <f t="shared" si="11"/>
        <v>0</v>
      </c>
      <c r="V24" s="16">
        <f t="shared" si="12"/>
        <v>0</v>
      </c>
      <c r="W24" s="16">
        <f t="shared" si="13"/>
        <v>0</v>
      </c>
      <c r="X24" s="16">
        <f t="shared" si="14"/>
        <v>0</v>
      </c>
      <c r="Y24" s="11"/>
      <c r="Z24" s="11"/>
      <c r="AA24" s="11"/>
      <c r="AB24" s="11"/>
      <c r="AC24" s="11"/>
      <c r="AD24" s="11"/>
      <c r="AE24" s="11"/>
      <c r="AF24" s="11"/>
    </row>
    <row r="25" spans="1:32" ht="15.75" x14ac:dyDescent="0.25">
      <c r="A25" s="21" t="s">
        <v>5</v>
      </c>
      <c r="B25" s="6">
        <v>24</v>
      </c>
      <c r="C25" s="6">
        <v>0</v>
      </c>
      <c r="D25" s="6">
        <v>0</v>
      </c>
      <c r="E25" s="6">
        <v>0</v>
      </c>
      <c r="F25" s="6">
        <v>1</v>
      </c>
      <c r="G25" s="3">
        <v>103</v>
      </c>
      <c r="H25" s="7">
        <v>1</v>
      </c>
      <c r="I25" s="7">
        <v>0</v>
      </c>
      <c r="J25" s="9">
        <f t="shared" si="0"/>
        <v>1</v>
      </c>
      <c r="K25" s="9">
        <f t="shared" si="1"/>
        <v>0</v>
      </c>
      <c r="L25" s="9">
        <f t="shared" si="2"/>
        <v>1</v>
      </c>
      <c r="M25" s="9">
        <f t="shared" si="3"/>
        <v>0</v>
      </c>
      <c r="N25" s="9">
        <f t="shared" si="4"/>
        <v>0</v>
      </c>
      <c r="O25" s="9">
        <f t="shared" si="5"/>
        <v>0</v>
      </c>
      <c r="P25" s="9">
        <f t="shared" si="6"/>
        <v>1</v>
      </c>
      <c r="Q25" s="14">
        <f t="shared" si="7"/>
        <v>0</v>
      </c>
      <c r="R25" s="14">
        <f t="shared" si="8"/>
        <v>0</v>
      </c>
      <c r="S25" s="14">
        <f t="shared" si="9"/>
        <v>0</v>
      </c>
      <c r="T25" s="14">
        <f t="shared" si="10"/>
        <v>0</v>
      </c>
      <c r="U25" s="14">
        <f t="shared" si="11"/>
        <v>0</v>
      </c>
      <c r="V25" s="14">
        <f t="shared" si="12"/>
        <v>0</v>
      </c>
      <c r="W25" s="14">
        <f t="shared" si="13"/>
        <v>103</v>
      </c>
      <c r="X25" s="14">
        <f t="shared" si="14"/>
        <v>0</v>
      </c>
      <c r="Y25" s="11"/>
      <c r="Z25" s="11"/>
      <c r="AA25" s="11"/>
      <c r="AB25" s="11"/>
      <c r="AC25" s="11"/>
      <c r="AD25" s="11"/>
      <c r="AE25" s="11"/>
      <c r="AF25" s="11"/>
    </row>
    <row r="26" spans="1:32" ht="15.75" x14ac:dyDescent="0.25">
      <c r="A26" s="21" t="s">
        <v>18</v>
      </c>
      <c r="B26" s="6">
        <v>25</v>
      </c>
      <c r="C26" s="6">
        <v>0</v>
      </c>
      <c r="D26" s="6">
        <v>0</v>
      </c>
      <c r="E26" s="6">
        <v>0</v>
      </c>
      <c r="F26" s="6">
        <v>1</v>
      </c>
      <c r="G26" s="3">
        <v>78</v>
      </c>
      <c r="H26" s="7">
        <v>0</v>
      </c>
      <c r="I26" s="7">
        <v>0</v>
      </c>
      <c r="J26" s="9">
        <f t="shared" si="0"/>
        <v>0</v>
      </c>
      <c r="K26" s="9">
        <f t="shared" si="1"/>
        <v>0</v>
      </c>
      <c r="L26" s="9">
        <f t="shared" si="2"/>
        <v>0</v>
      </c>
      <c r="M26" s="9">
        <f t="shared" si="3"/>
        <v>0</v>
      </c>
      <c r="N26" s="9">
        <f t="shared" si="4"/>
        <v>0</v>
      </c>
      <c r="O26" s="9">
        <f t="shared" si="5"/>
        <v>0</v>
      </c>
      <c r="P26" s="9">
        <f t="shared" si="6"/>
        <v>0</v>
      </c>
      <c r="Q26" s="14">
        <f t="shared" si="7"/>
        <v>0</v>
      </c>
      <c r="R26" s="14">
        <f t="shared" si="8"/>
        <v>0</v>
      </c>
      <c r="S26" s="14">
        <f t="shared" si="9"/>
        <v>0</v>
      </c>
      <c r="T26" s="14">
        <f t="shared" si="10"/>
        <v>0</v>
      </c>
      <c r="U26" s="14">
        <f t="shared" si="11"/>
        <v>0</v>
      </c>
      <c r="V26" s="14">
        <f t="shared" si="12"/>
        <v>0</v>
      </c>
      <c r="W26" s="14">
        <f t="shared" si="13"/>
        <v>0</v>
      </c>
      <c r="X26" s="14">
        <f t="shared" si="14"/>
        <v>0</v>
      </c>
      <c r="Y26" s="11"/>
      <c r="Z26" s="11"/>
      <c r="AA26" s="11"/>
      <c r="AB26" s="11"/>
      <c r="AC26" s="11"/>
      <c r="AD26" s="11"/>
      <c r="AE26" s="11"/>
      <c r="AF26" s="11"/>
    </row>
    <row r="27" spans="1:32" ht="15.75" x14ac:dyDescent="0.25">
      <c r="A27" s="21" t="s">
        <v>20</v>
      </c>
      <c r="B27" s="6">
        <v>26</v>
      </c>
      <c r="C27" s="6">
        <v>0</v>
      </c>
      <c r="D27" s="6">
        <v>0</v>
      </c>
      <c r="E27" s="6">
        <v>0</v>
      </c>
      <c r="F27" s="6">
        <v>1</v>
      </c>
      <c r="G27" s="3">
        <v>77</v>
      </c>
      <c r="H27" s="7">
        <v>0</v>
      </c>
      <c r="I27" s="7">
        <v>0</v>
      </c>
      <c r="J27" s="9">
        <f t="shared" si="0"/>
        <v>0</v>
      </c>
      <c r="K27" s="9">
        <f t="shared" si="1"/>
        <v>0</v>
      </c>
      <c r="L27" s="9">
        <f t="shared" si="2"/>
        <v>0</v>
      </c>
      <c r="M27" s="9">
        <f t="shared" si="3"/>
        <v>0</v>
      </c>
      <c r="N27" s="9">
        <f t="shared" si="4"/>
        <v>0</v>
      </c>
      <c r="O27" s="9">
        <f t="shared" si="5"/>
        <v>0</v>
      </c>
      <c r="P27" s="9">
        <f t="shared" si="6"/>
        <v>0</v>
      </c>
      <c r="Q27" s="14">
        <f t="shared" si="7"/>
        <v>0</v>
      </c>
      <c r="R27" s="14">
        <f t="shared" si="8"/>
        <v>0</v>
      </c>
      <c r="S27" s="14">
        <f t="shared" si="9"/>
        <v>0</v>
      </c>
      <c r="T27" s="14">
        <f t="shared" si="10"/>
        <v>0</v>
      </c>
      <c r="U27" s="14">
        <f t="shared" si="11"/>
        <v>0</v>
      </c>
      <c r="V27" s="14">
        <f t="shared" si="12"/>
        <v>0</v>
      </c>
      <c r="W27" s="14">
        <f t="shared" si="13"/>
        <v>0</v>
      </c>
      <c r="X27" s="14">
        <f t="shared" si="14"/>
        <v>0</v>
      </c>
      <c r="Y27" s="11"/>
      <c r="Z27" s="11"/>
      <c r="AA27" s="11"/>
      <c r="AB27" s="11"/>
      <c r="AC27" s="11"/>
      <c r="AD27" s="11"/>
      <c r="AE27" s="11"/>
      <c r="AF27" s="11"/>
    </row>
    <row r="28" spans="1:32" ht="15.75" x14ac:dyDescent="0.25">
      <c r="A28" s="21" t="s">
        <v>23</v>
      </c>
      <c r="B28" s="6">
        <v>27</v>
      </c>
      <c r="C28" s="6">
        <v>0</v>
      </c>
      <c r="D28" s="6">
        <v>0</v>
      </c>
      <c r="E28" s="6">
        <v>0</v>
      </c>
      <c r="F28" s="6">
        <v>1</v>
      </c>
      <c r="G28" s="3">
        <v>70</v>
      </c>
      <c r="H28" s="7">
        <v>0</v>
      </c>
      <c r="I28" s="7">
        <v>0</v>
      </c>
      <c r="J28" s="9">
        <f t="shared" si="0"/>
        <v>0</v>
      </c>
      <c r="K28" s="9">
        <f t="shared" si="1"/>
        <v>0</v>
      </c>
      <c r="L28" s="9">
        <f t="shared" si="2"/>
        <v>0</v>
      </c>
      <c r="M28" s="9">
        <f t="shared" si="3"/>
        <v>0</v>
      </c>
      <c r="N28" s="9">
        <f t="shared" si="4"/>
        <v>0</v>
      </c>
      <c r="O28" s="9">
        <f t="shared" si="5"/>
        <v>0</v>
      </c>
      <c r="P28" s="9">
        <f t="shared" si="6"/>
        <v>0</v>
      </c>
      <c r="Q28" s="14">
        <f t="shared" si="7"/>
        <v>0</v>
      </c>
      <c r="R28" s="14">
        <f t="shared" si="8"/>
        <v>0</v>
      </c>
      <c r="S28" s="14">
        <f t="shared" si="9"/>
        <v>0</v>
      </c>
      <c r="T28" s="14">
        <f t="shared" si="10"/>
        <v>0</v>
      </c>
      <c r="U28" s="14">
        <f t="shared" si="11"/>
        <v>0</v>
      </c>
      <c r="V28" s="14">
        <f t="shared" si="12"/>
        <v>0</v>
      </c>
      <c r="W28" s="14">
        <f t="shared" si="13"/>
        <v>0</v>
      </c>
      <c r="X28" s="14">
        <f t="shared" si="14"/>
        <v>0</v>
      </c>
      <c r="Y28" s="11"/>
      <c r="Z28" s="11"/>
      <c r="AA28" s="11"/>
      <c r="AB28" s="11"/>
      <c r="AC28" s="11"/>
      <c r="AD28" s="11"/>
      <c r="AE28" s="11"/>
      <c r="AF28" s="11"/>
    </row>
    <row r="29" spans="1:32" ht="15.75" x14ac:dyDescent="0.25">
      <c r="A29" s="21" t="s">
        <v>38</v>
      </c>
      <c r="B29" s="6">
        <v>28</v>
      </c>
      <c r="C29" s="6">
        <v>0</v>
      </c>
      <c r="D29" s="6">
        <v>0</v>
      </c>
      <c r="E29" s="6">
        <v>0</v>
      </c>
      <c r="F29" s="6">
        <v>1</v>
      </c>
      <c r="G29" s="3">
        <v>102</v>
      </c>
      <c r="H29" s="7">
        <v>1</v>
      </c>
      <c r="I29" s="7">
        <v>0</v>
      </c>
      <c r="J29" s="9">
        <f t="shared" si="0"/>
        <v>1</v>
      </c>
      <c r="K29" s="9">
        <f t="shared" si="1"/>
        <v>0</v>
      </c>
      <c r="L29" s="9">
        <f t="shared" si="2"/>
        <v>1</v>
      </c>
      <c r="M29" s="9">
        <f t="shared" si="3"/>
        <v>0</v>
      </c>
      <c r="N29" s="9">
        <f t="shared" si="4"/>
        <v>0</v>
      </c>
      <c r="O29" s="9">
        <f t="shared" si="5"/>
        <v>0</v>
      </c>
      <c r="P29" s="9">
        <f t="shared" si="6"/>
        <v>1</v>
      </c>
      <c r="Q29" s="14">
        <f t="shared" si="7"/>
        <v>0</v>
      </c>
      <c r="R29" s="14">
        <f t="shared" si="8"/>
        <v>0</v>
      </c>
      <c r="S29" s="14">
        <f t="shared" si="9"/>
        <v>0</v>
      </c>
      <c r="T29" s="14">
        <f t="shared" si="10"/>
        <v>0</v>
      </c>
      <c r="U29" s="14">
        <f t="shared" si="11"/>
        <v>0</v>
      </c>
      <c r="V29" s="14">
        <f t="shared" si="12"/>
        <v>0</v>
      </c>
      <c r="W29" s="14">
        <f t="shared" si="13"/>
        <v>102</v>
      </c>
      <c r="X29" s="14">
        <f t="shared" si="14"/>
        <v>0</v>
      </c>
      <c r="Y29" s="11"/>
      <c r="Z29" s="11"/>
      <c r="AA29" s="11"/>
      <c r="AB29" s="11"/>
      <c r="AC29" s="11"/>
      <c r="AD29" s="11"/>
      <c r="AE29" s="11"/>
      <c r="AF29" s="11"/>
    </row>
    <row r="30" spans="1:32" ht="15.75" x14ac:dyDescent="0.25">
      <c r="A30" s="21" t="s">
        <v>6</v>
      </c>
      <c r="B30" s="6">
        <v>29</v>
      </c>
      <c r="C30" s="6">
        <v>0</v>
      </c>
      <c r="D30" s="6">
        <v>0</v>
      </c>
      <c r="E30" s="6">
        <v>0</v>
      </c>
      <c r="F30" s="6">
        <v>1</v>
      </c>
      <c r="G30" s="3">
        <v>98</v>
      </c>
      <c r="H30" s="7">
        <v>1</v>
      </c>
      <c r="I30" s="7">
        <v>0</v>
      </c>
      <c r="J30" s="9">
        <f t="shared" si="0"/>
        <v>1</v>
      </c>
      <c r="K30" s="9">
        <f t="shared" si="1"/>
        <v>0</v>
      </c>
      <c r="L30" s="9">
        <f t="shared" si="2"/>
        <v>1</v>
      </c>
      <c r="M30" s="9">
        <f t="shared" si="3"/>
        <v>0</v>
      </c>
      <c r="N30" s="9">
        <f t="shared" si="4"/>
        <v>0</v>
      </c>
      <c r="O30" s="9">
        <f t="shared" si="5"/>
        <v>0</v>
      </c>
      <c r="P30" s="9">
        <f t="shared" si="6"/>
        <v>1</v>
      </c>
      <c r="Q30" s="14">
        <f t="shared" si="7"/>
        <v>0</v>
      </c>
      <c r="R30" s="14">
        <f t="shared" si="8"/>
        <v>0</v>
      </c>
      <c r="S30" s="14">
        <f t="shared" si="9"/>
        <v>0</v>
      </c>
      <c r="T30" s="14">
        <f t="shared" si="10"/>
        <v>0</v>
      </c>
      <c r="U30" s="14">
        <f t="shared" si="11"/>
        <v>0</v>
      </c>
      <c r="V30" s="14">
        <f t="shared" si="12"/>
        <v>0</v>
      </c>
      <c r="W30" s="14">
        <f t="shared" si="13"/>
        <v>98</v>
      </c>
      <c r="X30" s="14">
        <f t="shared" si="14"/>
        <v>0</v>
      </c>
      <c r="Y30" s="11"/>
      <c r="Z30" s="11"/>
      <c r="AA30" s="11"/>
      <c r="AB30" s="11"/>
      <c r="AC30" s="11"/>
      <c r="AD30" s="11"/>
      <c r="AE30" s="11"/>
      <c r="AF30" s="11"/>
    </row>
    <row r="31" spans="1:32" ht="15.75" x14ac:dyDescent="0.25">
      <c r="A31" s="21" t="s">
        <v>22</v>
      </c>
      <c r="B31" s="6">
        <v>30</v>
      </c>
      <c r="C31" s="6">
        <v>0</v>
      </c>
      <c r="D31" s="6">
        <v>0</v>
      </c>
      <c r="E31" s="6">
        <v>0</v>
      </c>
      <c r="F31" s="6">
        <v>1</v>
      </c>
      <c r="G31" s="3">
        <v>75</v>
      </c>
      <c r="H31" s="7">
        <v>0</v>
      </c>
      <c r="I31" s="7">
        <v>0</v>
      </c>
      <c r="J31" s="9">
        <f t="shared" si="0"/>
        <v>0</v>
      </c>
      <c r="K31" s="9">
        <f t="shared" si="1"/>
        <v>0</v>
      </c>
      <c r="L31" s="9">
        <f t="shared" si="2"/>
        <v>0</v>
      </c>
      <c r="M31" s="9">
        <f t="shared" si="3"/>
        <v>0</v>
      </c>
      <c r="N31" s="9">
        <f t="shared" si="4"/>
        <v>0</v>
      </c>
      <c r="O31" s="9">
        <f t="shared" si="5"/>
        <v>0</v>
      </c>
      <c r="P31" s="9">
        <f t="shared" si="6"/>
        <v>0</v>
      </c>
      <c r="Q31" s="14">
        <f t="shared" si="7"/>
        <v>0</v>
      </c>
      <c r="R31" s="14">
        <f t="shared" si="8"/>
        <v>0</v>
      </c>
      <c r="S31" s="14">
        <f t="shared" si="9"/>
        <v>0</v>
      </c>
      <c r="T31" s="14">
        <f t="shared" si="10"/>
        <v>0</v>
      </c>
      <c r="U31" s="14">
        <f t="shared" si="11"/>
        <v>0</v>
      </c>
      <c r="V31" s="14">
        <f t="shared" si="12"/>
        <v>0</v>
      </c>
      <c r="W31" s="14">
        <f t="shared" si="13"/>
        <v>0</v>
      </c>
      <c r="X31" s="14">
        <f t="shared" si="14"/>
        <v>0</v>
      </c>
      <c r="Y31" s="11"/>
      <c r="Z31" s="11"/>
      <c r="AA31" s="11"/>
      <c r="AB31" s="11"/>
      <c r="AC31" s="11"/>
      <c r="AD31" s="11"/>
      <c r="AE31" s="11"/>
      <c r="AF31" s="11"/>
    </row>
    <row r="32" spans="1:32" ht="15.75" x14ac:dyDescent="0.25">
      <c r="A32" s="2"/>
      <c r="B32" s="2"/>
      <c r="C32" s="2"/>
      <c r="D32" s="2"/>
      <c r="E32" s="2"/>
      <c r="F32" s="1"/>
    </row>
    <row r="33" spans="1:22" ht="15.75" x14ac:dyDescent="0.25">
      <c r="A33" s="2" t="s">
        <v>45</v>
      </c>
      <c r="B33" s="2"/>
      <c r="C33" s="2"/>
      <c r="D33" s="2"/>
      <c r="E33" s="2"/>
      <c r="F33" s="1"/>
      <c r="H33">
        <f>SUM(H2:H31)</f>
        <v>12</v>
      </c>
      <c r="I33">
        <f>SUM(I2:I31)</f>
        <v>4</v>
      </c>
      <c r="K33">
        <f>SUM(K2:K31)</f>
        <v>8</v>
      </c>
      <c r="L33">
        <f>SUM(L2:L31)</f>
        <v>8</v>
      </c>
      <c r="N33" s="6"/>
      <c r="O33" t="s">
        <v>74</v>
      </c>
      <c r="U33" s="17"/>
      <c r="V33" t="s">
        <v>60</v>
      </c>
    </row>
    <row r="34" spans="1:22" ht="15.75" x14ac:dyDescent="0.25">
      <c r="A34" s="2"/>
      <c r="B34" s="2"/>
      <c r="C34" s="2"/>
      <c r="D34" s="2"/>
      <c r="E34" s="2"/>
      <c r="F34" s="1"/>
      <c r="N34" s="9"/>
      <c r="O34" t="s">
        <v>75</v>
      </c>
      <c r="U34" s="15"/>
      <c r="V34" t="s">
        <v>59</v>
      </c>
    </row>
    <row r="35" spans="1:22" ht="15.75" x14ac:dyDescent="0.25">
      <c r="A35" s="2" t="s">
        <v>36</v>
      </c>
      <c r="B35" s="2"/>
      <c r="C35" s="2"/>
      <c r="D35" s="2"/>
      <c r="E35" s="2"/>
      <c r="F35" s="1"/>
      <c r="N35" s="7"/>
      <c r="O35" t="s">
        <v>76</v>
      </c>
      <c r="U35" s="12"/>
      <c r="V35" t="s">
        <v>61</v>
      </c>
    </row>
    <row r="36" spans="1:22" ht="15.75" x14ac:dyDescent="0.25">
      <c r="A36" s="1" t="s">
        <v>35</v>
      </c>
      <c r="B36">
        <f>SUMPRODUCT(G2:G31,H2:H31)</f>
        <v>1216</v>
      </c>
      <c r="N36" s="3"/>
      <c r="O36" t="s">
        <v>77</v>
      </c>
      <c r="U36" s="14"/>
      <c r="V36" t="s">
        <v>62</v>
      </c>
    </row>
    <row r="37" spans="1:22" ht="15.75" x14ac:dyDescent="0.25">
      <c r="A37" s="1" t="s">
        <v>34</v>
      </c>
      <c r="B37">
        <f>SUMPRODUCT(G2:G31,I2:I31)</f>
        <v>403</v>
      </c>
    </row>
    <row r="39" spans="1:22" ht="15.75" x14ac:dyDescent="0.25">
      <c r="A39" s="1" t="s">
        <v>33</v>
      </c>
      <c r="B39">
        <f>B36+B37</f>
        <v>1619</v>
      </c>
    </row>
    <row r="41" spans="1:22" ht="15.75" x14ac:dyDescent="0.25">
      <c r="A41" s="1" t="s">
        <v>47</v>
      </c>
    </row>
    <row r="42" spans="1:22" x14ac:dyDescent="0.25">
      <c r="B42">
        <f>SUM(H2:H31) +SUM(I2:I31)</f>
        <v>16</v>
      </c>
      <c r="C42" t="s">
        <v>48</v>
      </c>
      <c r="D42">
        <v>16</v>
      </c>
    </row>
    <row r="43" spans="1:22" x14ac:dyDescent="0.25">
      <c r="C43" t="s">
        <v>49</v>
      </c>
      <c r="D43">
        <v>1</v>
      </c>
    </row>
    <row r="44" spans="1:22" x14ac:dyDescent="0.25">
      <c r="B44">
        <f>SUM(K2:K31)</f>
        <v>8</v>
      </c>
      <c r="C44" t="s">
        <v>49</v>
      </c>
      <c r="D44">
        <v>8</v>
      </c>
    </row>
    <row r="45" spans="1:22" x14ac:dyDescent="0.25">
      <c r="B45">
        <f>SUM(L2:L31)</f>
        <v>8</v>
      </c>
      <c r="C45" t="s">
        <v>49</v>
      </c>
      <c r="D45">
        <v>8</v>
      </c>
    </row>
    <row r="47" spans="1:22" x14ac:dyDescent="0.25">
      <c r="A47" t="s">
        <v>54</v>
      </c>
      <c r="B47">
        <f>SUM(M2:M31)</f>
        <v>3</v>
      </c>
      <c r="C47" t="s">
        <v>48</v>
      </c>
      <c r="D47">
        <f>SUM(N2:N31)</f>
        <v>3</v>
      </c>
    </row>
    <row r="48" spans="1:22" x14ac:dyDescent="0.25">
      <c r="A48" t="s">
        <v>55</v>
      </c>
      <c r="B48">
        <f>SUM(O2:O31)</f>
        <v>3</v>
      </c>
      <c r="C48" t="s">
        <v>48</v>
      </c>
      <c r="D48">
        <f>SUM(P2:P31)</f>
        <v>3</v>
      </c>
    </row>
    <row r="50" spans="1:4" x14ac:dyDescent="0.25">
      <c r="A50" t="s">
        <v>57</v>
      </c>
      <c r="B50">
        <f>B47</f>
        <v>3</v>
      </c>
      <c r="C50" t="s">
        <v>56</v>
      </c>
      <c r="D50">
        <f>B48</f>
        <v>3</v>
      </c>
    </row>
    <row r="51" spans="1:4" x14ac:dyDescent="0.25">
      <c r="B51" t="s">
        <v>58</v>
      </c>
    </row>
  </sheetData>
  <autoFilter ref="A1:X31">
    <sortState ref="A2:X31">
      <sortCondition ref="B1:B3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06.0</vt:lpstr>
      <vt:lpstr>Summary</vt:lpstr>
      <vt:lpstr>06.1</vt:lpstr>
      <vt:lpstr>06.2</vt:lpstr>
      <vt:lpstr>06.3</vt:lpstr>
      <vt:lpstr>06.4</vt:lpstr>
      <vt:lpstr>07</vt:lpstr>
      <vt:lpstr>08</vt:lpstr>
      <vt:lpstr>09</vt:lpstr>
      <vt:lpstr>10</vt:lpstr>
      <vt:lpstr>11</vt:lpstr>
      <vt:lpstr>12</vt:lpstr>
      <vt:lpstr>14</vt:lpstr>
      <vt:lpstr>15</vt:lpstr>
      <vt:lpstr>16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student</cp:lastModifiedBy>
  <dcterms:created xsi:type="dcterms:W3CDTF">2016-04-11T19:23:58Z</dcterms:created>
  <dcterms:modified xsi:type="dcterms:W3CDTF">2016-05-10T03:12:01Z</dcterms:modified>
</cp:coreProperties>
</file>